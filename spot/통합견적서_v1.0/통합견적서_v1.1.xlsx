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gimgyeongseog_1/Desktop/spot/통합견적서_v1.0/"/>
    </mc:Choice>
  </mc:AlternateContent>
  <xr:revisionPtr revIDLastSave="0" documentId="13_ncr:1_{A7B71EA9-34A6-B347-9D9D-624D84DC1456}" xr6:coauthVersionLast="47" xr6:coauthVersionMax="47" xr10:uidLastSave="{00000000-0000-0000-0000-000000000000}"/>
  <bookViews>
    <workbookView xWindow="0" yWindow="660" windowWidth="30240" windowHeight="17860" tabRatio="500" activeTab="2" xr2:uid="{00000000-000D-0000-FFFF-FFFF00000000}"/>
  </bookViews>
  <sheets>
    <sheet name="개요" sheetId="1" r:id="rId1"/>
    <sheet name="Street" sheetId="2" r:id="rId2"/>
    <sheet name="Town" sheetId="3" r:id="rId3"/>
    <sheet name="City" sheetId="4" r:id="rId4"/>
    <sheet name="요약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4" i="4" l="1"/>
  <c r="G94" i="4" s="1"/>
  <c r="G93" i="4"/>
  <c r="F93" i="4"/>
  <c r="F92" i="4"/>
  <c r="G92" i="4" s="1"/>
  <c r="F91" i="4"/>
  <c r="G91" i="4" s="1"/>
  <c r="G90" i="4"/>
  <c r="G95" i="4" s="1"/>
  <c r="F17" i="5" s="1"/>
  <c r="F90" i="4"/>
  <c r="G86" i="4"/>
  <c r="F86" i="4"/>
  <c r="G85" i="4"/>
  <c r="F85" i="4"/>
  <c r="G84" i="4"/>
  <c r="F84" i="4"/>
  <c r="F83" i="4"/>
  <c r="G83" i="4" s="1"/>
  <c r="F82" i="4"/>
  <c r="G82" i="4" s="1"/>
  <c r="F81" i="4"/>
  <c r="G81" i="4" s="1"/>
  <c r="G87" i="4" s="1"/>
  <c r="F16" i="5" s="1"/>
  <c r="F77" i="4"/>
  <c r="G77" i="4" s="1"/>
  <c r="G76" i="4"/>
  <c r="F76" i="4"/>
  <c r="F75" i="4"/>
  <c r="G75" i="4" s="1"/>
  <c r="F74" i="4"/>
  <c r="G74" i="4" s="1"/>
  <c r="G73" i="4"/>
  <c r="F73" i="4"/>
  <c r="G69" i="4"/>
  <c r="F69" i="4"/>
  <c r="F68" i="4"/>
  <c r="G68" i="4" s="1"/>
  <c r="G67" i="4"/>
  <c r="F67" i="4"/>
  <c r="F66" i="4"/>
  <c r="G66" i="4" s="1"/>
  <c r="F65" i="4"/>
  <c r="G65" i="4" s="1"/>
  <c r="G70" i="4" s="1"/>
  <c r="F14" i="5" s="1"/>
  <c r="F61" i="4"/>
  <c r="G61" i="4" s="1"/>
  <c r="F60" i="4"/>
  <c r="G60" i="4" s="1"/>
  <c r="G59" i="4"/>
  <c r="F59" i="4"/>
  <c r="F58" i="4"/>
  <c r="G58" i="4" s="1"/>
  <c r="G57" i="4"/>
  <c r="F57" i="4"/>
  <c r="G56" i="4"/>
  <c r="F56" i="4"/>
  <c r="G52" i="4"/>
  <c r="F52" i="4"/>
  <c r="F51" i="4"/>
  <c r="G51" i="4" s="1"/>
  <c r="G50" i="4"/>
  <c r="F50" i="4"/>
  <c r="F49" i="4"/>
  <c r="G49" i="4" s="1"/>
  <c r="F48" i="4"/>
  <c r="G48" i="4" s="1"/>
  <c r="F44" i="4"/>
  <c r="G44" i="4" s="1"/>
  <c r="F43" i="4"/>
  <c r="G43" i="4" s="1"/>
  <c r="G42" i="4"/>
  <c r="F42" i="4"/>
  <c r="F41" i="4"/>
  <c r="G41" i="4" s="1"/>
  <c r="G40" i="4"/>
  <c r="F40" i="4"/>
  <c r="G39" i="4"/>
  <c r="F39" i="4"/>
  <c r="G35" i="4"/>
  <c r="F35" i="4"/>
  <c r="F34" i="4"/>
  <c r="G34" i="4" s="1"/>
  <c r="G33" i="4"/>
  <c r="F33" i="4"/>
  <c r="F32" i="4"/>
  <c r="G32" i="4" s="1"/>
  <c r="F31" i="4"/>
  <c r="G31" i="4" s="1"/>
  <c r="F30" i="4"/>
  <c r="G30" i="4" s="1"/>
  <c r="F26" i="4"/>
  <c r="G26" i="4" s="1"/>
  <c r="G25" i="4"/>
  <c r="F25" i="4"/>
  <c r="F24" i="4"/>
  <c r="G24" i="4" s="1"/>
  <c r="G23" i="4"/>
  <c r="F23" i="4"/>
  <c r="G22" i="4"/>
  <c r="F22" i="4"/>
  <c r="F21" i="4"/>
  <c r="G21" i="4" s="1"/>
  <c r="F20" i="4"/>
  <c r="G20" i="4" s="1"/>
  <c r="G19" i="4"/>
  <c r="F19" i="4"/>
  <c r="F15" i="4"/>
  <c r="G15" i="4" s="1"/>
  <c r="F14" i="4"/>
  <c r="G14" i="4" s="1"/>
  <c r="F13" i="4"/>
  <c r="G13" i="4" s="1"/>
  <c r="G12" i="4"/>
  <c r="F12" i="4"/>
  <c r="F11" i="4"/>
  <c r="G11" i="4" s="1"/>
  <c r="G10" i="4"/>
  <c r="F10" i="4"/>
  <c r="F9" i="4"/>
  <c r="G9" i="4" s="1"/>
  <c r="F94" i="3"/>
  <c r="G94" i="3" s="1"/>
  <c r="F93" i="3"/>
  <c r="G93" i="3" s="1"/>
  <c r="F92" i="3"/>
  <c r="G92" i="3" s="1"/>
  <c r="G91" i="3"/>
  <c r="F91" i="3"/>
  <c r="F90" i="3"/>
  <c r="G90" i="3" s="1"/>
  <c r="G95" i="3" s="1"/>
  <c r="E17" i="5" s="1"/>
  <c r="G86" i="3"/>
  <c r="F86" i="3"/>
  <c r="G85" i="3"/>
  <c r="F85" i="3"/>
  <c r="F84" i="3"/>
  <c r="G84" i="3" s="1"/>
  <c r="G83" i="3"/>
  <c r="F83" i="3"/>
  <c r="G82" i="3"/>
  <c r="F82" i="3"/>
  <c r="G81" i="3"/>
  <c r="F81" i="3"/>
  <c r="F77" i="3"/>
  <c r="G77" i="3" s="1"/>
  <c r="F76" i="3"/>
  <c r="G76" i="3" s="1"/>
  <c r="F75" i="3"/>
  <c r="G75" i="3" s="1"/>
  <c r="G74" i="3"/>
  <c r="F74" i="3"/>
  <c r="F73" i="3"/>
  <c r="G73" i="3" s="1"/>
  <c r="G69" i="3"/>
  <c r="F69" i="3"/>
  <c r="G68" i="3"/>
  <c r="F68" i="3"/>
  <c r="F67" i="3"/>
  <c r="G67" i="3" s="1"/>
  <c r="G66" i="3"/>
  <c r="F66" i="3"/>
  <c r="G65" i="3"/>
  <c r="F65" i="3"/>
  <c r="F61" i="3"/>
  <c r="G61" i="3" s="1"/>
  <c r="F60" i="3"/>
  <c r="G60" i="3" s="1"/>
  <c r="F59" i="3"/>
  <c r="G59" i="3" s="1"/>
  <c r="F58" i="3"/>
  <c r="G58" i="3" s="1"/>
  <c r="G57" i="3"/>
  <c r="F57" i="3"/>
  <c r="F56" i="3"/>
  <c r="G56" i="3" s="1"/>
  <c r="G52" i="3"/>
  <c r="F52" i="3"/>
  <c r="G51" i="3"/>
  <c r="F51" i="3"/>
  <c r="F50" i="3"/>
  <c r="G50" i="3" s="1"/>
  <c r="G49" i="3"/>
  <c r="F49" i="3"/>
  <c r="G48" i="3"/>
  <c r="F48" i="3"/>
  <c r="F44" i="3"/>
  <c r="G44" i="3" s="1"/>
  <c r="F43" i="3"/>
  <c r="G43" i="3" s="1"/>
  <c r="F42" i="3"/>
  <c r="G42" i="3" s="1"/>
  <c r="F41" i="3"/>
  <c r="G41" i="3" s="1"/>
  <c r="G40" i="3"/>
  <c r="F40" i="3"/>
  <c r="F39" i="3"/>
  <c r="G39" i="3" s="1"/>
  <c r="G45" i="3" s="1"/>
  <c r="E11" i="5" s="1"/>
  <c r="G35" i="3"/>
  <c r="F35" i="3"/>
  <c r="G34" i="3"/>
  <c r="F34" i="3"/>
  <c r="F33" i="3"/>
  <c r="G33" i="3" s="1"/>
  <c r="G32" i="3"/>
  <c r="F32" i="3"/>
  <c r="G31" i="3"/>
  <c r="F31" i="3"/>
  <c r="G30" i="3"/>
  <c r="F30" i="3"/>
  <c r="F26" i="3"/>
  <c r="G26" i="3" s="1"/>
  <c r="F25" i="3"/>
  <c r="G25" i="3" s="1"/>
  <c r="F24" i="3"/>
  <c r="G24" i="3" s="1"/>
  <c r="G23" i="3"/>
  <c r="F23" i="3"/>
  <c r="F22" i="3"/>
  <c r="G22" i="3" s="1"/>
  <c r="F21" i="3"/>
  <c r="G21" i="3" s="1"/>
  <c r="F20" i="3"/>
  <c r="G20" i="3" s="1"/>
  <c r="F19" i="3"/>
  <c r="G19" i="3" s="1"/>
  <c r="G15" i="3"/>
  <c r="F15" i="3"/>
  <c r="G14" i="3"/>
  <c r="F14" i="3"/>
  <c r="G13" i="3"/>
  <c r="F13" i="3"/>
  <c r="G12" i="3"/>
  <c r="F12" i="3"/>
  <c r="G11" i="3"/>
  <c r="F11" i="3"/>
  <c r="F10" i="3"/>
  <c r="G10" i="3" s="1"/>
  <c r="G9" i="3"/>
  <c r="G16" i="3" s="1"/>
  <c r="F9" i="3"/>
  <c r="G94" i="2"/>
  <c r="F94" i="2"/>
  <c r="G93" i="2"/>
  <c r="F93" i="2"/>
  <c r="G92" i="2"/>
  <c r="F92" i="2"/>
  <c r="F91" i="2"/>
  <c r="G91" i="2" s="1"/>
  <c r="G90" i="2"/>
  <c r="G95" i="2" s="1"/>
  <c r="D17" i="5" s="1"/>
  <c r="F90" i="2"/>
  <c r="F86" i="2"/>
  <c r="G86" i="2" s="1"/>
  <c r="F85" i="2"/>
  <c r="G85" i="2" s="1"/>
  <c r="F84" i="2"/>
  <c r="G84" i="2" s="1"/>
  <c r="F83" i="2"/>
  <c r="G83" i="2" s="1"/>
  <c r="F82" i="2"/>
  <c r="G82" i="2" s="1"/>
  <c r="G81" i="2"/>
  <c r="F81" i="2"/>
  <c r="G77" i="2"/>
  <c r="F77" i="2"/>
  <c r="G76" i="2"/>
  <c r="F76" i="2"/>
  <c r="G75" i="2"/>
  <c r="F75" i="2"/>
  <c r="F74" i="2"/>
  <c r="G74" i="2" s="1"/>
  <c r="G73" i="2"/>
  <c r="G78" i="2" s="1"/>
  <c r="D15" i="5" s="1"/>
  <c r="F73" i="2"/>
  <c r="F69" i="2"/>
  <c r="G69" i="2" s="1"/>
  <c r="F68" i="2"/>
  <c r="G68" i="2" s="1"/>
  <c r="F67" i="2"/>
  <c r="G67" i="2" s="1"/>
  <c r="F66" i="2"/>
  <c r="G66" i="2" s="1"/>
  <c r="F65" i="2"/>
  <c r="G65" i="2" s="1"/>
  <c r="G61" i="2"/>
  <c r="F61" i="2"/>
  <c r="G60" i="2"/>
  <c r="F60" i="2"/>
  <c r="G59" i="2"/>
  <c r="F59" i="2"/>
  <c r="G58" i="2"/>
  <c r="F58" i="2"/>
  <c r="F57" i="2"/>
  <c r="G57" i="2" s="1"/>
  <c r="G56" i="2"/>
  <c r="G62" i="2" s="1"/>
  <c r="D13" i="5" s="1"/>
  <c r="F56" i="2"/>
  <c r="F52" i="2"/>
  <c r="G52" i="2" s="1"/>
  <c r="F51" i="2"/>
  <c r="G51" i="2" s="1"/>
  <c r="F50" i="2"/>
  <c r="G50" i="2" s="1"/>
  <c r="F49" i="2"/>
  <c r="G49" i="2" s="1"/>
  <c r="G48" i="2"/>
  <c r="F48" i="2"/>
  <c r="G44" i="2"/>
  <c r="F44" i="2"/>
  <c r="G43" i="2"/>
  <c r="F43" i="2"/>
  <c r="G42" i="2"/>
  <c r="F42" i="2"/>
  <c r="G41" i="2"/>
  <c r="F41" i="2"/>
  <c r="F40" i="2"/>
  <c r="G40" i="2" s="1"/>
  <c r="G39" i="2"/>
  <c r="F39" i="2"/>
  <c r="F35" i="2"/>
  <c r="G35" i="2" s="1"/>
  <c r="F34" i="2"/>
  <c r="G34" i="2" s="1"/>
  <c r="F33" i="2"/>
  <c r="G33" i="2" s="1"/>
  <c r="F32" i="2"/>
  <c r="G32" i="2" s="1"/>
  <c r="F31" i="2"/>
  <c r="G31" i="2" s="1"/>
  <c r="G30" i="2"/>
  <c r="G36" i="2" s="1"/>
  <c r="D10" i="5" s="1"/>
  <c r="F30" i="2"/>
  <c r="G26" i="2"/>
  <c r="F26" i="2"/>
  <c r="G25" i="2"/>
  <c r="F25" i="2"/>
  <c r="G24" i="2"/>
  <c r="F24" i="2"/>
  <c r="F23" i="2"/>
  <c r="G23" i="2" s="1"/>
  <c r="G22" i="2"/>
  <c r="F22" i="2"/>
  <c r="G21" i="2"/>
  <c r="F21" i="2"/>
  <c r="G20" i="2"/>
  <c r="F20" i="2"/>
  <c r="G19" i="2"/>
  <c r="G27" i="2" s="1"/>
  <c r="D9" i="5" s="1"/>
  <c r="F19" i="2"/>
  <c r="F15" i="2"/>
  <c r="G15" i="2" s="1"/>
  <c r="F14" i="2"/>
  <c r="G14" i="2" s="1"/>
  <c r="G13" i="2"/>
  <c r="F13" i="2"/>
  <c r="F12" i="2"/>
  <c r="G12" i="2" s="1"/>
  <c r="F11" i="2"/>
  <c r="G11" i="2" s="1"/>
  <c r="F10" i="2"/>
  <c r="G10" i="2" s="1"/>
  <c r="F9" i="2"/>
  <c r="G9" i="2" s="1"/>
  <c r="G16" i="2" s="1"/>
  <c r="G70" i="2" l="1"/>
  <c r="D14" i="5" s="1"/>
  <c r="G14" i="5" s="1"/>
  <c r="G53" i="4"/>
  <c r="F12" i="5" s="1"/>
  <c r="G53" i="3"/>
  <c r="E12" i="5" s="1"/>
  <c r="G78" i="4"/>
  <c r="F15" i="5" s="1"/>
  <c r="G87" i="2"/>
  <c r="D16" i="5" s="1"/>
  <c r="G78" i="3"/>
  <c r="E15" i="5" s="1"/>
  <c r="G45" i="4"/>
  <c r="F11" i="5" s="1"/>
  <c r="G36" i="3"/>
  <c r="E10" i="5" s="1"/>
  <c r="G70" i="3"/>
  <c r="E14" i="5" s="1"/>
  <c r="G16" i="4"/>
  <c r="G13" i="5"/>
  <c r="G87" i="3"/>
  <c r="E16" i="5" s="1"/>
  <c r="G27" i="3"/>
  <c r="E9" i="5" s="1"/>
  <c r="G62" i="3"/>
  <c r="E13" i="5" s="1"/>
  <c r="G36" i="4"/>
  <c r="F10" i="5" s="1"/>
  <c r="G53" i="2"/>
  <c r="D12" i="5" s="1"/>
  <c r="G12" i="5" s="1"/>
  <c r="G27" i="4"/>
  <c r="F9" i="5" s="1"/>
  <c r="G62" i="4"/>
  <c r="F13" i="5" s="1"/>
  <c r="G98" i="2"/>
  <c r="D18" i="5" s="1"/>
  <c r="G17" i="5" s="1"/>
  <c r="D8" i="5"/>
  <c r="G8" i="5" s="1"/>
  <c r="E8" i="5"/>
  <c r="G45" i="2"/>
  <c r="D11" i="5" s="1"/>
  <c r="G9" i="5" l="1"/>
  <c r="G15" i="5"/>
  <c r="G10" i="5"/>
  <c r="G11" i="5"/>
  <c r="G98" i="3"/>
  <c r="E18" i="5" s="1"/>
  <c r="F8" i="5"/>
  <c r="G98" i="4"/>
  <c r="F18" i="5" s="1"/>
  <c r="G16" i="5"/>
</calcChain>
</file>

<file path=xl/sharedStrings.xml><?xml version="1.0" encoding="utf-8"?>
<sst xmlns="http://schemas.openxmlformats.org/spreadsheetml/2006/main" count="755" uniqueCount="292">
  <si>
    <r>
      <rPr>
        <b/>
        <sz val="20"/>
        <color rgb="FF1A1A1A"/>
        <rFont val="맑은 고딕"/>
        <family val="2"/>
        <charset val="129"/>
      </rPr>
      <t>[</t>
    </r>
    <r>
      <rPr>
        <b/>
        <sz val="20"/>
        <color rgb="FF1A1A1A"/>
        <rFont val="DejaVu Sans"/>
        <family val="2"/>
      </rPr>
      <t>지역명</t>
    </r>
    <r>
      <rPr>
        <b/>
        <sz val="20"/>
        <color rgb="FF1A1A1A"/>
        <rFont val="맑은 고딕"/>
        <family val="2"/>
        <charset val="129"/>
      </rPr>
      <t xml:space="preserve">] </t>
    </r>
    <r>
      <rPr>
        <b/>
        <sz val="20"/>
        <color rgb="FF1A1A1A"/>
        <rFont val="DejaVu Sans"/>
        <family val="2"/>
      </rPr>
      <t>팝업 타운 조성을 통한 상권 활성화 디지털 플랫폼 구축 사업</t>
    </r>
  </si>
  <si>
    <r>
      <rPr>
        <b/>
        <sz val="12"/>
        <color rgb="FFFF5A1F"/>
        <rFont val="DejaVu Sans"/>
        <family val="2"/>
      </rPr>
      <t xml:space="preserve">통합 견적서 </t>
    </r>
    <r>
      <rPr>
        <b/>
        <sz val="12"/>
        <color rgb="FFFF5A1F"/>
        <rFont val="맑은 고딕"/>
        <family val="2"/>
        <charset val="129"/>
      </rPr>
      <t xml:space="preserve">v1.1 (Draft) · </t>
    </r>
    <r>
      <rPr>
        <b/>
        <sz val="12"/>
        <color rgb="FFFF5A1F"/>
        <rFont val="DejaVu Sans"/>
        <family val="2"/>
      </rPr>
      <t>솔루션 선택형</t>
    </r>
  </si>
  <si>
    <r>
      <rPr>
        <sz val="10"/>
        <color rgb="FF8A8A8A"/>
        <rFont val="DejaVu Sans"/>
        <family val="2"/>
      </rPr>
      <t>단위</t>
    </r>
    <r>
      <rPr>
        <sz val="10"/>
        <color rgb="FF8A8A8A"/>
        <rFont val="맑은 고딕"/>
        <family val="2"/>
        <charset val="129"/>
      </rPr>
      <t xml:space="preserve">: </t>
    </r>
    <r>
      <rPr>
        <sz val="10"/>
        <color rgb="FF8A8A8A"/>
        <rFont val="DejaVu Sans"/>
        <family val="2"/>
      </rPr>
      <t xml:space="preserve">원 </t>
    </r>
    <r>
      <rPr>
        <sz val="10"/>
        <color rgb="FF8A8A8A"/>
        <rFont val="맑은 고딕"/>
        <family val="2"/>
        <charset val="129"/>
      </rPr>
      <t xml:space="preserve">(₩)   ·   </t>
    </r>
    <r>
      <rPr>
        <sz val="10"/>
        <color rgb="FF8A8A8A"/>
        <rFont val="DejaVu Sans"/>
        <family val="2"/>
      </rPr>
      <t xml:space="preserve">부가세 별도   </t>
    </r>
    <r>
      <rPr>
        <sz val="10"/>
        <color rgb="FF8A8A8A"/>
        <rFont val="맑은 고딕"/>
        <family val="2"/>
        <charset val="129"/>
      </rPr>
      <t xml:space="preserve">·   IT </t>
    </r>
    <r>
      <rPr>
        <sz val="10"/>
        <color rgb="FF8A8A8A"/>
        <rFont val="DejaVu Sans"/>
        <family val="2"/>
      </rPr>
      <t>영역</t>
    </r>
  </si>
  <si>
    <r>
      <rPr>
        <b/>
        <sz val="14"/>
        <color rgb="FF1A1A1A"/>
        <rFont val="맑은 고딕"/>
        <family val="2"/>
        <charset val="129"/>
      </rPr>
      <t xml:space="preserve">01    </t>
    </r>
    <r>
      <rPr>
        <b/>
        <sz val="14"/>
        <color rgb="FF1A1A1A"/>
        <rFont val="DejaVu Sans"/>
        <family val="2"/>
      </rPr>
      <t>사업 개요</t>
    </r>
  </si>
  <si>
    <r>
      <rPr>
        <sz val="10.5"/>
        <color rgb="FF1A1A1A"/>
        <rFont val="DejaVu Sans"/>
        <family val="2"/>
      </rPr>
      <t>지역 골목 공실은 단순히 한 점포의 문제가 아니다</t>
    </r>
    <r>
      <rPr>
        <sz val="10.5"/>
        <color rgb="FF1A1A1A"/>
        <rFont val="맑은 고딕"/>
        <family val="2"/>
        <charset val="129"/>
      </rPr>
      <t xml:space="preserve">. </t>
    </r>
    <r>
      <rPr>
        <sz val="10.5"/>
        <color rgb="FF1A1A1A"/>
        <rFont val="DejaVu Sans"/>
        <family val="2"/>
      </rPr>
      <t xml:space="preserve">한국부동산원에 따르면 </t>
    </r>
    <r>
      <rPr>
        <sz val="10.5"/>
        <color rgb="FF1A1A1A"/>
        <rFont val="맑은 고딕"/>
        <family val="2"/>
        <charset val="129"/>
      </rPr>
      <t>2025</t>
    </r>
    <r>
      <rPr>
        <sz val="10.5"/>
        <color rgb="FF1A1A1A"/>
        <rFont val="DejaVu Sans"/>
        <family val="2"/>
      </rPr>
      <t xml:space="preserve">년 </t>
    </r>
    <r>
      <rPr>
        <sz val="10.5"/>
        <color rgb="FF1A1A1A"/>
        <rFont val="맑은 고딕"/>
        <family val="2"/>
        <charset val="129"/>
      </rPr>
      <t>3</t>
    </r>
    <r>
      <rPr>
        <sz val="10.5"/>
        <color rgb="FF1A1A1A"/>
        <rFont val="DejaVu Sans"/>
        <family val="2"/>
      </rPr>
      <t xml:space="preserve">분기 전국 중대형 상가 공실률은 </t>
    </r>
    <r>
      <rPr>
        <sz val="10.5"/>
        <color rgb="FF1A1A1A"/>
        <rFont val="맑은 고딕"/>
        <family val="2"/>
        <charset val="129"/>
      </rPr>
      <t xml:space="preserve">13.6%, </t>
    </r>
    <r>
      <rPr>
        <sz val="10.5"/>
        <color rgb="FF1A1A1A"/>
        <rFont val="DejaVu Sans"/>
        <family val="2"/>
      </rPr>
      <t xml:space="preserve">비수도권 </t>
    </r>
    <r>
      <rPr>
        <sz val="10.5"/>
        <color rgb="FF1A1A1A"/>
        <rFont val="맑은 고딕"/>
        <family val="2"/>
        <charset val="129"/>
      </rPr>
      <t>1</t>
    </r>
    <r>
      <rPr>
        <sz val="10.5"/>
        <color rgb="FF1A1A1A"/>
        <rFont val="DejaVu Sans"/>
        <family val="2"/>
      </rPr>
      <t>층 상가 공실률은 전국 평균을 크게 웃돈다</t>
    </r>
    <r>
      <rPr>
        <sz val="10.5"/>
        <color rgb="FF1A1A1A"/>
        <rFont val="맑은 고딕"/>
        <family val="2"/>
        <charset val="129"/>
      </rPr>
      <t xml:space="preserve">. </t>
    </r>
    <r>
      <rPr>
        <sz val="10.5"/>
        <color rgb="FF1A1A1A"/>
        <rFont val="DejaVu Sans"/>
        <family val="2"/>
      </rPr>
      <t>그동안의 다양한 활성화 시도들이 단기 효과에 그쳤던 이유는 사람들이 다시 찾아오는 지속가능한 운영 구조를 만들지 못했기 때문이고</t>
    </r>
    <r>
      <rPr>
        <sz val="10.5"/>
        <color rgb="FF1A1A1A"/>
        <rFont val="맑은 고딕"/>
        <family val="2"/>
        <charset val="129"/>
      </rPr>
      <t xml:space="preserve">, </t>
    </r>
    <r>
      <rPr>
        <sz val="10.5"/>
        <color rgb="FF1A1A1A"/>
        <rFont val="DejaVu Sans"/>
        <family val="2"/>
      </rPr>
      <t>그 본질은 공간마다 그 동네만의 고유성과 이야기가 충분히 담기지 않았기 때문이다</t>
    </r>
    <r>
      <rPr>
        <sz val="10.5"/>
        <color rgb="FF1A1A1A"/>
        <rFont val="맑은 고딕"/>
        <family val="2"/>
        <charset val="129"/>
      </rPr>
      <t>.</t>
    </r>
  </si>
  <si>
    <r>
      <rPr>
        <b/>
        <sz val="14"/>
        <color rgb="FF1A1A1A"/>
        <rFont val="맑은 고딕"/>
        <family val="2"/>
        <charset val="129"/>
      </rPr>
      <t xml:space="preserve">02    </t>
    </r>
    <r>
      <rPr>
        <b/>
        <sz val="14"/>
        <color rgb="FF1A1A1A"/>
        <rFont val="DejaVu Sans"/>
        <family val="2"/>
      </rPr>
      <t>사용 방법</t>
    </r>
  </si>
  <si>
    <t>1</t>
  </si>
  <si>
    <r>
      <rPr>
        <sz val="10.5"/>
        <color rgb="FF1A1A1A"/>
        <rFont val="DejaVu Sans"/>
        <family val="2"/>
      </rPr>
      <t>단계별 시트</t>
    </r>
    <r>
      <rPr>
        <sz val="10.5"/>
        <color rgb="FF1A1A1A"/>
        <rFont val="맑은 고딕"/>
        <family val="2"/>
        <charset val="129"/>
      </rPr>
      <t>(Street / Town / City)</t>
    </r>
    <r>
      <rPr>
        <sz val="10.5"/>
        <color rgb="FF1A1A1A"/>
        <rFont val="DejaVu Sans"/>
        <family val="2"/>
      </rPr>
      <t>를 펼친다</t>
    </r>
    <r>
      <rPr>
        <sz val="10.5"/>
        <color rgb="FF1A1A1A"/>
        <rFont val="맑은 고딕"/>
        <family val="2"/>
        <charset val="129"/>
      </rPr>
      <t xml:space="preserve">. </t>
    </r>
    <r>
      <rPr>
        <sz val="10.5"/>
        <color rgb="FF1A1A1A"/>
        <rFont val="DejaVu Sans"/>
        <family val="2"/>
      </rPr>
      <t>각 단계마다 단가가 다르다</t>
    </r>
    <r>
      <rPr>
        <sz val="10.5"/>
        <color rgb="FF1A1A1A"/>
        <rFont val="맑은 고딕"/>
        <family val="2"/>
        <charset val="129"/>
      </rPr>
      <t>.</t>
    </r>
  </si>
  <si>
    <t>2</t>
  </si>
  <si>
    <r>
      <rPr>
        <sz val="10.5"/>
        <color rgb="FF1A1A1A"/>
        <rFont val="DejaVu Sans"/>
        <family val="2"/>
      </rPr>
      <t xml:space="preserve">각 솔루션 행의 </t>
    </r>
    <r>
      <rPr>
        <sz val="10.5"/>
        <color rgb="FF1A1A1A"/>
        <rFont val="맑은 고딕"/>
        <family val="2"/>
        <charset val="129"/>
      </rPr>
      <t>[</t>
    </r>
    <r>
      <rPr>
        <sz val="10.5"/>
        <color rgb="FF1A1A1A"/>
        <rFont val="DejaVu Sans"/>
        <family val="2"/>
      </rPr>
      <t>도입</t>
    </r>
    <r>
      <rPr>
        <sz val="10.5"/>
        <color rgb="FF1A1A1A"/>
        <rFont val="맑은 고딕"/>
        <family val="2"/>
        <charset val="129"/>
      </rPr>
      <t xml:space="preserve">] </t>
    </r>
    <r>
      <rPr>
        <sz val="10.5"/>
        <color rgb="FF1A1A1A"/>
        <rFont val="DejaVu Sans"/>
        <family val="2"/>
      </rPr>
      <t xml:space="preserve">컬럼에서 </t>
    </r>
    <r>
      <rPr>
        <sz val="10.5"/>
        <color rgb="FF1A1A1A"/>
        <rFont val="맑은 고딕"/>
        <family val="2"/>
        <charset val="129"/>
      </rPr>
      <t>TRUE / FALSE</t>
    </r>
    <r>
      <rPr>
        <sz val="10.5"/>
        <color rgb="FF1A1A1A"/>
        <rFont val="DejaVu Sans"/>
        <family val="2"/>
      </rPr>
      <t xml:space="preserve">를 선택한다 </t>
    </r>
    <r>
      <rPr>
        <sz val="10.5"/>
        <color rgb="FF1A1A1A"/>
        <rFont val="맑은 고딕"/>
        <family val="2"/>
        <charset val="129"/>
      </rPr>
      <t>(</t>
    </r>
    <r>
      <rPr>
        <sz val="10.5"/>
        <color rgb="FF1A1A1A"/>
        <rFont val="DejaVu Sans"/>
        <family val="2"/>
      </rPr>
      <t>드롭다운 제공</t>
    </r>
    <r>
      <rPr>
        <sz val="10.5"/>
        <color rgb="FF1A1A1A"/>
        <rFont val="맑은 고딕"/>
        <family val="2"/>
        <charset val="129"/>
      </rPr>
      <t>).</t>
    </r>
  </si>
  <si>
    <t>3</t>
  </si>
  <si>
    <r>
      <rPr>
        <sz val="10.5"/>
        <color rgb="FF1A1A1A"/>
        <rFont val="DejaVu Sans"/>
        <family val="2"/>
      </rPr>
      <t>선택된 솔루션의 단가가 자동 합산되어 카테고리 소계</t>
    </r>
    <r>
      <rPr>
        <sz val="10.5"/>
        <color rgb="FF1A1A1A"/>
        <rFont val="맑은 고딕"/>
        <family val="2"/>
        <charset val="129"/>
      </rPr>
      <t>·</t>
    </r>
    <r>
      <rPr>
        <sz val="10.5"/>
        <color rgb="FF1A1A1A"/>
        <rFont val="DejaVu Sans"/>
        <family val="2"/>
      </rPr>
      <t>전체 합계가 갱신된다</t>
    </r>
    <r>
      <rPr>
        <sz val="10.5"/>
        <color rgb="FF1A1A1A"/>
        <rFont val="맑은 고딕"/>
        <family val="2"/>
        <charset val="129"/>
      </rPr>
      <t>.</t>
    </r>
  </si>
  <si>
    <t>4</t>
  </si>
  <si>
    <r>
      <rPr>
        <sz val="10.5"/>
        <color rgb="FF1A1A1A"/>
        <rFont val="맑은 고딕"/>
        <family val="2"/>
        <charset val="129"/>
      </rPr>
      <t>[</t>
    </r>
    <r>
      <rPr>
        <sz val="10.5"/>
        <color rgb="FF1A1A1A"/>
        <rFont val="DejaVu Sans"/>
        <family val="2"/>
      </rPr>
      <t>요약</t>
    </r>
    <r>
      <rPr>
        <sz val="10.5"/>
        <color rgb="FF1A1A1A"/>
        <rFont val="맑은 고딕"/>
        <family val="2"/>
        <charset val="129"/>
      </rPr>
      <t xml:space="preserve">] </t>
    </r>
    <r>
      <rPr>
        <sz val="10.5"/>
        <color rgb="FF1A1A1A"/>
        <rFont val="DejaVu Sans"/>
        <family val="2"/>
      </rPr>
      <t>시트에서 단계별</t>
    </r>
    <r>
      <rPr>
        <sz val="10.5"/>
        <color rgb="FF1A1A1A"/>
        <rFont val="맑은 고딕"/>
        <family val="2"/>
        <charset val="129"/>
      </rPr>
      <t>·</t>
    </r>
    <r>
      <rPr>
        <sz val="10.5"/>
        <color rgb="FF1A1A1A"/>
        <rFont val="DejaVu Sans"/>
        <family val="2"/>
      </rPr>
      <t>카테고리별 합계를 한눈에 비교할 수 있다</t>
    </r>
    <r>
      <rPr>
        <sz val="10.5"/>
        <color rgb="FF1A1A1A"/>
        <rFont val="맑은 고딕"/>
        <family val="2"/>
        <charset val="129"/>
      </rPr>
      <t>.</t>
    </r>
  </si>
  <si>
    <t>5</t>
  </si>
  <si>
    <r>
      <rPr>
        <sz val="10.5"/>
        <color rgb="FF1A1A1A"/>
        <rFont val="DejaVu Sans"/>
        <family val="2"/>
      </rPr>
      <t>다른 도시에 적용할 때는 본 파일을 복사한 후 단가만 조정하면 그대로 템플릿 재활용 가능하다</t>
    </r>
    <r>
      <rPr>
        <sz val="10.5"/>
        <color rgb="FF1A1A1A"/>
        <rFont val="맑은 고딕"/>
        <family val="2"/>
        <charset val="129"/>
      </rPr>
      <t>.</t>
    </r>
  </si>
  <si>
    <r>
      <rPr>
        <b/>
        <sz val="14"/>
        <color rgb="FF1A1A1A"/>
        <rFont val="맑은 고딕"/>
        <family val="2"/>
        <charset val="129"/>
      </rPr>
      <t xml:space="preserve">03    </t>
    </r>
    <r>
      <rPr>
        <b/>
        <sz val="14"/>
        <color rgb="FF1A1A1A"/>
        <rFont val="DejaVu Sans"/>
        <family val="2"/>
      </rPr>
      <t xml:space="preserve">솔루션 카테고리 </t>
    </r>
    <r>
      <rPr>
        <b/>
        <sz val="14"/>
        <color rgb="FF1A1A1A"/>
        <rFont val="맑은 고딕"/>
        <family val="2"/>
        <charset val="129"/>
      </rPr>
      <t>(10</t>
    </r>
    <r>
      <rPr>
        <b/>
        <sz val="14"/>
        <color rgb="FF1A1A1A"/>
        <rFont val="DejaVu Sans"/>
        <family val="2"/>
      </rPr>
      <t>개</t>
    </r>
    <r>
      <rPr>
        <b/>
        <sz val="14"/>
        <color rgb="FF1A1A1A"/>
        <rFont val="맑은 고딕"/>
        <family val="2"/>
        <charset val="129"/>
      </rPr>
      <t>)</t>
    </r>
  </si>
  <si>
    <t>#</t>
  </si>
  <si>
    <t>카테고리</t>
  </si>
  <si>
    <t>테마</t>
  </si>
  <si>
    <t>한 줄 소개</t>
  </si>
  <si>
    <t>공간</t>
  </si>
  <si>
    <r>
      <rPr>
        <i/>
        <sz val="10"/>
        <color rgb="FFFF5A1F"/>
        <rFont val="DejaVu Sans"/>
        <family val="2"/>
      </rPr>
      <t xml:space="preserve">공실의 단기임대 활성화 </t>
    </r>
    <r>
      <rPr>
        <i/>
        <sz val="10"/>
        <color rgb="FFFF5A1F"/>
        <rFont val="맑은 고딕"/>
        <family val="2"/>
        <charset val="129"/>
      </rPr>
      <t xml:space="preserve">/ </t>
    </r>
    <r>
      <rPr>
        <i/>
        <sz val="10"/>
        <color rgb="FFFF5A1F"/>
        <rFont val="DejaVu Sans"/>
        <family val="2"/>
      </rPr>
      <t>청년의 무대</t>
    </r>
    <r>
      <rPr>
        <i/>
        <sz val="10"/>
        <color rgb="FFFF5A1F"/>
        <rFont val="맑은 고딕"/>
        <family val="2"/>
        <charset val="129"/>
      </rPr>
      <t xml:space="preserve">, </t>
    </r>
    <r>
      <rPr>
        <i/>
        <sz val="10"/>
        <color rgb="FFFF5A1F"/>
        <rFont val="DejaVu Sans"/>
        <family val="2"/>
      </rPr>
      <t>지속가능한 팝업타운</t>
    </r>
  </si>
  <si>
    <r>
      <rPr>
        <sz val="10"/>
        <color rgb="FF4A4A4A"/>
        <rFont val="DejaVu Sans"/>
        <family val="2"/>
      </rPr>
      <t>지역 공실을 청년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창작자의 단기 팝업 무대로 전환하고</t>
    </r>
    <r>
      <rPr>
        <sz val="10"/>
        <color rgb="FF4A4A4A"/>
        <rFont val="맑은 고딕"/>
        <family val="2"/>
        <charset val="129"/>
      </rPr>
      <t xml:space="preserve">, </t>
    </r>
    <r>
      <rPr>
        <sz val="10"/>
        <color rgb="FF4A4A4A"/>
        <rFont val="DejaVu Sans"/>
        <family val="2"/>
      </rPr>
      <t>동네 이야기와 결합해 지속가능한 팝업타운을 조성하는 핵심 인프라</t>
    </r>
    <r>
      <rPr>
        <sz val="10"/>
        <color rgb="FF4A4A4A"/>
        <rFont val="맑은 고딕"/>
        <family val="2"/>
        <charset val="129"/>
      </rPr>
      <t>.</t>
    </r>
  </si>
  <si>
    <t>아이템</t>
  </si>
  <si>
    <r>
      <rPr>
        <i/>
        <sz val="10"/>
        <color rgb="FFFF5A1F"/>
        <rFont val="DejaVu Sans"/>
        <family val="2"/>
      </rPr>
      <t>청년 아이템</t>
    </r>
    <r>
      <rPr>
        <i/>
        <sz val="10"/>
        <color rgb="FFFF5A1F"/>
        <rFont val="맑은 고딕"/>
        <family val="2"/>
        <charset val="129"/>
      </rPr>
      <t>·</t>
    </r>
    <r>
      <rPr>
        <i/>
        <sz val="10"/>
        <color rgb="FFFF5A1F"/>
        <rFont val="DejaVu Sans"/>
        <family val="2"/>
      </rPr>
      <t>특산물의 시장 검증</t>
    </r>
  </si>
  <si>
    <r>
      <rPr>
        <sz val="10"/>
        <color rgb="FF4A4A4A"/>
        <rFont val="DejaVu Sans"/>
        <family val="2"/>
      </rPr>
      <t>청년 크리에이터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 xml:space="preserve">특산물 생산자가 좋은 상품을 도시 소비자에게 부담 없이 검증할 수 있는 </t>
    </r>
    <r>
      <rPr>
        <sz val="10"/>
        <color rgb="FF4A4A4A"/>
        <rFont val="맑은 고딕"/>
        <family val="2"/>
        <charset val="129"/>
      </rPr>
      <t xml:space="preserve">IT </t>
    </r>
    <r>
      <rPr>
        <sz val="10"/>
        <color rgb="FF4A4A4A"/>
        <rFont val="DejaVu Sans"/>
        <family val="2"/>
      </rPr>
      <t>자산</t>
    </r>
    <r>
      <rPr>
        <sz val="10"/>
        <color rgb="FF4A4A4A"/>
        <rFont val="맑은 고딕"/>
        <family val="2"/>
        <charset val="129"/>
      </rPr>
      <t xml:space="preserve">. AI </t>
    </r>
    <r>
      <rPr>
        <sz val="10"/>
        <color rgb="FF4A4A4A"/>
        <rFont val="DejaVu Sans"/>
        <family val="2"/>
      </rPr>
      <t>매장 운영 자동화로 작은 브랜드도 전문가급 매장 운영</t>
    </r>
    <r>
      <rPr>
        <sz val="10"/>
        <color rgb="FF4A4A4A"/>
        <rFont val="맑은 고딕"/>
        <family val="2"/>
        <charset val="129"/>
      </rPr>
      <t>.</t>
    </r>
  </si>
  <si>
    <t>이벤트</t>
  </si>
  <si>
    <r>
      <rPr>
        <i/>
        <sz val="10"/>
        <color rgb="FFFF5A1F"/>
        <rFont val="DejaVu Sans"/>
        <family val="2"/>
      </rPr>
      <t>페스티벌</t>
    </r>
    <r>
      <rPr>
        <i/>
        <sz val="10"/>
        <color rgb="FFFF5A1F"/>
        <rFont val="맑은 고딕"/>
        <family val="2"/>
        <charset val="129"/>
      </rPr>
      <t>·</t>
    </r>
    <r>
      <rPr>
        <i/>
        <sz val="10"/>
        <color rgb="FFFF5A1F"/>
        <rFont val="DejaVu Sans"/>
        <family val="2"/>
      </rPr>
      <t>야시장</t>
    </r>
    <r>
      <rPr>
        <i/>
        <sz val="10"/>
        <color rgb="FFFF5A1F"/>
        <rFont val="맑은 고딕"/>
        <family val="2"/>
        <charset val="129"/>
      </rPr>
      <t>·</t>
    </r>
    <r>
      <rPr>
        <i/>
        <sz val="10"/>
        <color rgb="FFFF5A1F"/>
        <rFont val="DejaVu Sans"/>
        <family val="2"/>
      </rPr>
      <t>영화제의 디지털 운영</t>
    </r>
  </si>
  <si>
    <r>
      <rPr>
        <sz val="10"/>
        <color rgb="FF4A4A4A"/>
        <rFont val="DejaVu Sans"/>
        <family val="2"/>
      </rPr>
      <t>야시장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페스티벌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영화제 등 지역 행사를 거리 단위 작은 행사부터 광역 단위 대형 행사까지 동일 인프라로 운영</t>
    </r>
    <r>
      <rPr>
        <sz val="10"/>
        <color rgb="FF4A4A4A"/>
        <rFont val="맑은 고딕"/>
        <family val="2"/>
        <charset val="129"/>
      </rPr>
      <t xml:space="preserve">. </t>
    </r>
    <r>
      <rPr>
        <sz val="10"/>
        <color rgb="FF4A4A4A"/>
        <rFont val="DejaVu Sans"/>
        <family val="2"/>
      </rPr>
      <t>운영 효율과 데이터 자산 동시 확보</t>
    </r>
    <r>
      <rPr>
        <sz val="10"/>
        <color rgb="FF4A4A4A"/>
        <rFont val="맑은 고딕"/>
        <family val="2"/>
        <charset val="129"/>
      </rPr>
      <t>.</t>
    </r>
  </si>
  <si>
    <r>
      <rPr>
        <b/>
        <sz val="11"/>
        <color rgb="FF1A1A1A"/>
        <rFont val="DejaVu Sans"/>
        <family val="2"/>
      </rPr>
      <t>네트워크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>시너지</t>
    </r>
  </si>
  <si>
    <r>
      <rPr>
        <i/>
        <sz val="10"/>
        <color rgb="FFFF5A1F"/>
        <rFont val="맑은 고딕"/>
        <family val="2"/>
        <charset val="129"/>
      </rPr>
      <t xml:space="preserve">Street → Town → </t>
    </r>
    <r>
      <rPr>
        <i/>
        <sz val="10"/>
        <color rgb="FFFF5A1F"/>
        <rFont val="DejaVu Sans"/>
        <family val="2"/>
      </rPr>
      <t>도시 전체의 활성화</t>
    </r>
  </si>
  <si>
    <r>
      <rPr>
        <sz val="10"/>
        <color rgb="FF4A4A4A"/>
        <rFont val="DejaVu Sans"/>
        <family val="2"/>
      </rPr>
      <t>거리 하나의 성공이 옆 거리</t>
    </r>
    <r>
      <rPr>
        <sz val="10"/>
        <color rgb="FF4A4A4A"/>
        <rFont val="맑은 고딕"/>
        <family val="2"/>
        <charset val="129"/>
      </rPr>
      <t xml:space="preserve">, </t>
    </r>
    <r>
      <rPr>
        <sz val="10"/>
        <color rgb="FF4A4A4A"/>
        <rFont val="DejaVu Sans"/>
        <family val="2"/>
      </rPr>
      <t>타운</t>
    </r>
    <r>
      <rPr>
        <sz val="10"/>
        <color rgb="FF4A4A4A"/>
        <rFont val="맑은 고딕"/>
        <family val="2"/>
        <charset val="129"/>
      </rPr>
      <t xml:space="preserve">, </t>
    </r>
    <r>
      <rPr>
        <sz val="10"/>
        <color rgb="FF4A4A4A"/>
        <rFont val="DejaVu Sans"/>
        <family val="2"/>
      </rPr>
      <t>도시 전체의 활력으로 누적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확산되는 단계적 모델을 시각화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자동화</t>
    </r>
    <r>
      <rPr>
        <sz val="10"/>
        <color rgb="FF4A4A4A"/>
        <rFont val="맑은 고딕"/>
        <family val="2"/>
        <charset val="129"/>
      </rPr>
      <t xml:space="preserve">. </t>
    </r>
    <r>
      <rPr>
        <sz val="10"/>
        <color rgb="FF4A4A4A"/>
        <rFont val="DejaVu Sans"/>
        <family val="2"/>
      </rPr>
      <t>사업이 끝난 뒤에도 디지털 자산이 누적되어 다음 거리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다음 도시의 출발점이 된다</t>
    </r>
    <r>
      <rPr>
        <sz val="10"/>
        <color rgb="FF4A4A4A"/>
        <rFont val="맑은 고딕"/>
        <family val="2"/>
        <charset val="129"/>
      </rPr>
      <t>.</t>
    </r>
  </si>
  <si>
    <r>
      <rPr>
        <b/>
        <sz val="11"/>
        <color rgb="FF1A1A1A"/>
        <rFont val="DejaVu Sans"/>
        <family val="2"/>
      </rPr>
      <t>멤버십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>지역화폐</t>
    </r>
  </si>
  <si>
    <r>
      <rPr>
        <i/>
        <sz val="10"/>
        <color rgb="FFFF5A1F"/>
        <rFont val="맑은 고딕"/>
        <family val="2"/>
        <charset val="129"/>
      </rPr>
      <t>1</t>
    </r>
    <r>
      <rPr>
        <i/>
        <sz val="10"/>
        <color rgb="FFFF5A1F"/>
        <rFont val="DejaVu Sans"/>
        <family val="2"/>
      </rPr>
      <t>회 방문자를 도시의 팬으로</t>
    </r>
  </si>
  <si>
    <r>
      <rPr>
        <sz val="10"/>
        <color rgb="FF4A4A4A"/>
        <rFont val="맑은 고딕"/>
        <family val="2"/>
        <charset val="129"/>
      </rPr>
      <t>1</t>
    </r>
    <r>
      <rPr>
        <sz val="10"/>
        <color rgb="FF4A4A4A"/>
        <rFont val="DejaVu Sans"/>
        <family val="2"/>
      </rPr>
      <t>회 방문을 지속 재방문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재구매로 전환하는 인센티브 구조</t>
    </r>
    <r>
      <rPr>
        <sz val="10"/>
        <color rgb="FF4A4A4A"/>
        <rFont val="맑은 고딕"/>
        <family val="2"/>
        <charset val="129"/>
      </rPr>
      <t xml:space="preserve">. </t>
    </r>
    <r>
      <rPr>
        <sz val="10"/>
        <color rgb="FF4A4A4A"/>
        <rFont val="DejaVu Sans"/>
        <family val="2"/>
      </rPr>
      <t>기존 지자체 지역화폐와 연동해 본 사업의 모든 활동이 지자체 정책 효과 확장으로 이어진다</t>
    </r>
    <r>
      <rPr>
        <sz val="10"/>
        <color rgb="FF4A4A4A"/>
        <rFont val="맑은 고딕"/>
        <family val="2"/>
        <charset val="129"/>
      </rPr>
      <t>.</t>
    </r>
  </si>
  <si>
    <t>6</t>
  </si>
  <si>
    <r>
      <rPr>
        <b/>
        <sz val="11"/>
        <color rgb="FF1A1A1A"/>
        <rFont val="DejaVu Sans"/>
        <family val="2"/>
      </rPr>
      <t>성과 시각화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>리포트</t>
    </r>
  </si>
  <si>
    <t>지자체 정책의 영구적 근거 자산</t>
  </si>
  <si>
    <r>
      <rPr>
        <sz val="10"/>
        <color rgb="FF4A4A4A"/>
        <rFont val="DejaVu Sans"/>
        <family val="2"/>
      </rPr>
      <t>운영 결과 데이터를 표준화된 형태로 시각화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리포트화</t>
    </r>
    <r>
      <rPr>
        <sz val="10"/>
        <color rgb="FF4A4A4A"/>
        <rFont val="맑은 고딕"/>
        <family val="2"/>
        <charset val="129"/>
      </rPr>
      <t xml:space="preserve">. </t>
    </r>
    <r>
      <rPr>
        <sz val="10"/>
        <color rgb="FF4A4A4A"/>
        <rFont val="DejaVu Sans"/>
        <family val="2"/>
      </rPr>
      <t>지자체가 정책 효과를 즉시 보고</t>
    </r>
    <r>
      <rPr>
        <sz val="10"/>
        <color rgb="FF4A4A4A"/>
        <rFont val="맑은 고딕"/>
        <family val="2"/>
        <charset val="129"/>
      </rPr>
      <t xml:space="preserve">, </t>
    </r>
    <r>
      <rPr>
        <sz val="10"/>
        <color rgb="FF4A4A4A"/>
        <rFont val="DejaVu Sans"/>
        <family val="2"/>
      </rPr>
      <t>향후 정책 결정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학술 연구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민간 협력에 활용</t>
    </r>
    <r>
      <rPr>
        <sz val="10"/>
        <color rgb="FF4A4A4A"/>
        <rFont val="맑은 고딕"/>
        <family val="2"/>
        <charset val="129"/>
      </rPr>
      <t>.</t>
    </r>
  </si>
  <si>
    <t>7</t>
  </si>
  <si>
    <r>
      <rPr>
        <b/>
        <sz val="11"/>
        <color rgb="FF1A1A1A"/>
        <rFont val="DejaVu Sans"/>
        <family val="2"/>
      </rPr>
      <t>기타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>프리미엄 운영</t>
    </r>
  </si>
  <si>
    <t>시장 검증된 큰 운영 기능</t>
  </si>
  <si>
    <r>
      <rPr>
        <sz val="10"/>
        <color rgb="FF4A4A4A"/>
        <rFont val="DejaVu Sans"/>
        <family val="2"/>
      </rPr>
      <t>이미 시장에서 검증된 큰 운영 기능들</t>
    </r>
    <r>
      <rPr>
        <sz val="10"/>
        <color rgb="FF4A4A4A"/>
        <rFont val="맑은 고딕"/>
        <family val="2"/>
        <charset val="129"/>
      </rPr>
      <t xml:space="preserve">. </t>
    </r>
    <r>
      <rPr>
        <sz val="10"/>
        <color rgb="FF4A4A4A"/>
        <rFont val="DejaVu Sans"/>
        <family val="2"/>
      </rPr>
      <t>단독으로도 임팩트가 큰 솔루션 모음</t>
    </r>
    <r>
      <rPr>
        <sz val="10"/>
        <color rgb="FF4A4A4A"/>
        <rFont val="맑은 고딕"/>
        <family val="2"/>
        <charset val="129"/>
      </rPr>
      <t>.</t>
    </r>
  </si>
  <si>
    <t>8</t>
  </si>
  <si>
    <t>미션 베이스 인재 매칭</t>
  </si>
  <si>
    <t>차별화된 구인구직</t>
  </si>
  <si>
    <r>
      <rPr>
        <sz val="10"/>
        <color rgb="FF4A4A4A"/>
        <rFont val="DejaVu Sans"/>
        <family val="2"/>
      </rPr>
      <t>일반 시간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임금 위주 구인구직과 달리 비전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스토리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미션 기반</t>
    </r>
    <r>
      <rPr>
        <sz val="10"/>
        <color rgb="FF4A4A4A"/>
        <rFont val="맑은 고딕"/>
        <family val="2"/>
        <charset val="129"/>
      </rPr>
      <t xml:space="preserve">. </t>
    </r>
    <r>
      <rPr>
        <sz val="10"/>
        <color rgb="FF4A4A4A"/>
        <rFont val="DejaVu Sans"/>
        <family val="2"/>
      </rPr>
      <t>본 사업의 캐릭터와 결이 같은 인재 매칭</t>
    </r>
    <r>
      <rPr>
        <sz val="10"/>
        <color rgb="FF4A4A4A"/>
        <rFont val="맑은 고딕"/>
        <family val="2"/>
        <charset val="129"/>
      </rPr>
      <t>.</t>
    </r>
  </si>
  <si>
    <t>9</t>
  </si>
  <si>
    <r>
      <rPr>
        <b/>
        <sz val="11"/>
        <color rgb="FF1A1A1A"/>
        <rFont val="DejaVu Sans"/>
        <family val="2"/>
      </rPr>
      <t>포용성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>도시 가족</t>
    </r>
  </si>
  <si>
    <r>
      <rPr>
        <i/>
        <sz val="10"/>
        <color rgb="FFFF5A1F"/>
        <rFont val="DejaVu Sans"/>
        <family val="2"/>
      </rPr>
      <t>소도시 인구</t>
    </r>
    <r>
      <rPr>
        <i/>
        <sz val="10"/>
        <color rgb="FFFF5A1F"/>
        <rFont val="맑은 고딕"/>
        <family val="2"/>
        <charset val="129"/>
      </rPr>
      <t>·</t>
    </r>
    <r>
      <rPr>
        <i/>
        <sz val="10"/>
        <color rgb="FFFF5A1F"/>
        <rFont val="DejaVu Sans"/>
        <family val="2"/>
      </rPr>
      <t>정책 문제 대응</t>
    </r>
  </si>
  <si>
    <r>
      <rPr>
        <sz val="10"/>
        <color rgb="FF4A4A4A"/>
        <rFont val="DejaVu Sans"/>
        <family val="2"/>
      </rPr>
      <t>소도시 인구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 xml:space="preserve">정책 문제 </t>
    </r>
    <r>
      <rPr>
        <sz val="10"/>
        <color rgb="FF4A4A4A"/>
        <rFont val="맑은 고딕"/>
        <family val="2"/>
        <charset val="129"/>
      </rPr>
      <t>(</t>
    </r>
    <r>
      <rPr>
        <sz val="10"/>
        <color rgb="FF4A4A4A"/>
        <rFont val="DejaVu Sans"/>
        <family val="2"/>
      </rPr>
      <t>고령화</t>
    </r>
    <r>
      <rPr>
        <sz val="10"/>
        <color rgb="FF4A4A4A"/>
        <rFont val="맑은 고딕"/>
        <family val="2"/>
        <charset val="129"/>
      </rPr>
      <t xml:space="preserve">, </t>
    </r>
    <r>
      <rPr>
        <sz val="10"/>
        <color rgb="FF4A4A4A"/>
        <rFont val="DejaVu Sans"/>
        <family val="2"/>
      </rPr>
      <t>출산 장려</t>
    </r>
    <r>
      <rPr>
        <sz val="10"/>
        <color rgb="FF4A4A4A"/>
        <rFont val="맑은 고딕"/>
        <family val="2"/>
        <charset val="129"/>
      </rPr>
      <t xml:space="preserve">, </t>
    </r>
    <r>
      <rPr>
        <sz val="10"/>
        <color rgb="FF4A4A4A"/>
        <rFont val="DejaVu Sans"/>
        <family val="2"/>
      </rPr>
      <t>다문화 등</t>
    </r>
    <r>
      <rPr>
        <sz val="10"/>
        <color rgb="FF4A4A4A"/>
        <rFont val="맑은 고딕"/>
        <family val="2"/>
        <charset val="129"/>
      </rPr>
      <t>)</t>
    </r>
    <r>
      <rPr>
        <sz val="10"/>
        <color rgb="FF4A4A4A"/>
        <rFont val="DejaVu Sans"/>
        <family val="2"/>
      </rPr>
      <t>에 대응하는 포용성 솔루션</t>
    </r>
    <r>
      <rPr>
        <sz val="10"/>
        <color rgb="FF4A4A4A"/>
        <rFont val="맑은 고딕"/>
        <family val="2"/>
        <charset val="129"/>
      </rPr>
      <t xml:space="preserve">. </t>
    </r>
    <r>
      <rPr>
        <sz val="10"/>
        <color rgb="FF4A4A4A"/>
        <rFont val="DejaVu Sans"/>
        <family val="2"/>
      </rPr>
      <t>시민 만족도 직접 영향</t>
    </r>
    <r>
      <rPr>
        <sz val="10"/>
        <color rgb="FF4A4A4A"/>
        <rFont val="맑은 고딕"/>
        <family val="2"/>
        <charset val="129"/>
      </rPr>
      <t>.</t>
    </r>
  </si>
  <si>
    <t>10</t>
  </si>
  <si>
    <r>
      <rPr>
        <b/>
        <sz val="11"/>
        <color rgb="FF1A1A1A"/>
        <rFont val="DejaVu Sans"/>
        <family val="2"/>
      </rPr>
      <t>기업 유치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>투자</t>
    </r>
  </si>
  <si>
    <r>
      <rPr>
        <i/>
        <sz val="10"/>
        <color rgb="FFFF5A1F"/>
        <rFont val="DejaVu Sans"/>
        <family val="2"/>
      </rPr>
      <t>빅브랜드</t>
    </r>
    <r>
      <rPr>
        <i/>
        <sz val="10"/>
        <color rgb="FFFF5A1F"/>
        <rFont val="맑은 고딕"/>
        <family val="2"/>
        <charset val="129"/>
      </rPr>
      <t>·</t>
    </r>
    <r>
      <rPr>
        <i/>
        <sz val="10"/>
        <color rgb="FFFF5A1F"/>
        <rFont val="DejaVu Sans"/>
        <family val="2"/>
      </rPr>
      <t>자본</t>
    </r>
    <r>
      <rPr>
        <i/>
        <sz val="10"/>
        <color rgb="FFFF5A1F"/>
        <rFont val="맑은 고딕"/>
        <family val="2"/>
        <charset val="129"/>
      </rPr>
      <t>·</t>
    </r>
    <r>
      <rPr>
        <i/>
        <sz val="10"/>
        <color rgb="FFFF5A1F"/>
        <rFont val="DejaVu Sans"/>
        <family val="2"/>
      </rPr>
      <t>기업 유치</t>
    </r>
  </si>
  <si>
    <r>
      <rPr>
        <sz val="10"/>
        <color rgb="FF4A4A4A"/>
        <rFont val="DejaVu Sans"/>
        <family val="2"/>
      </rPr>
      <t>지역 활성화 데이터를 근거로 빅브랜드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자본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기업 유치</t>
    </r>
    <r>
      <rPr>
        <sz val="10"/>
        <color rgb="FF4A4A4A"/>
        <rFont val="맑은 고딕"/>
        <family val="2"/>
        <charset val="129"/>
      </rPr>
      <t xml:space="preserve">. </t>
    </r>
    <r>
      <rPr>
        <sz val="10"/>
        <color rgb="FF4A4A4A"/>
        <rFont val="DejaVu Sans"/>
        <family val="2"/>
      </rPr>
      <t>지자체의 본질적 인구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세수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일자리 목표 직결</t>
    </r>
    <r>
      <rPr>
        <sz val="10"/>
        <color rgb="FF4A4A4A"/>
        <rFont val="맑은 고딕"/>
        <family val="2"/>
        <charset val="129"/>
      </rPr>
      <t>.</t>
    </r>
  </si>
  <si>
    <r>
      <rPr>
        <b/>
        <sz val="14"/>
        <color rgb="FF1A1A1A"/>
        <rFont val="맑은 고딕"/>
        <family val="2"/>
        <charset val="129"/>
      </rPr>
      <t xml:space="preserve">04    </t>
    </r>
    <r>
      <rPr>
        <b/>
        <sz val="14"/>
        <color rgb="FF1A1A1A"/>
        <rFont val="DejaVu Sans"/>
        <family val="2"/>
      </rPr>
      <t>색상 규약</t>
    </r>
  </si>
  <si>
    <t xml:space="preserve">     </t>
  </si>
  <si>
    <r>
      <rPr>
        <b/>
        <sz val="10"/>
        <color rgb="FF1A1A1A"/>
        <rFont val="DejaVu Sans"/>
        <family val="2"/>
      </rPr>
      <t xml:space="preserve">노란 배경 </t>
    </r>
    <r>
      <rPr>
        <b/>
        <sz val="10"/>
        <color rgb="FF1A1A1A"/>
        <rFont val="맑은 고딕"/>
        <family val="2"/>
        <charset val="129"/>
      </rPr>
      <t xml:space="preserve">+ </t>
    </r>
    <r>
      <rPr>
        <b/>
        <sz val="10"/>
        <color rgb="FF1A1A1A"/>
        <rFont val="DejaVu Sans"/>
        <family val="2"/>
      </rPr>
      <t>굵은 글씨</t>
    </r>
  </si>
  <si>
    <r>
      <rPr>
        <sz val="10"/>
        <color rgb="FF4A4A4A"/>
        <rFont val="DejaVu Sans"/>
        <family val="2"/>
      </rPr>
      <t xml:space="preserve">사용자 입력 셀 </t>
    </r>
    <r>
      <rPr>
        <sz val="10"/>
        <color rgb="FF4A4A4A"/>
        <rFont val="맑은 고딕"/>
        <family val="2"/>
        <charset val="129"/>
      </rPr>
      <t>(</t>
    </r>
    <r>
      <rPr>
        <sz val="10"/>
        <color rgb="FF4A4A4A"/>
        <rFont val="DejaVu Sans"/>
        <family val="2"/>
      </rPr>
      <t>도입 체크박스</t>
    </r>
    <r>
      <rPr>
        <sz val="10"/>
        <color rgb="FF4A4A4A"/>
        <rFont val="맑은 고딕"/>
        <family val="2"/>
        <charset val="129"/>
      </rPr>
      <t>)</t>
    </r>
  </si>
  <si>
    <r>
      <rPr>
        <b/>
        <sz val="10"/>
        <color rgb="FF1A1A1A"/>
        <rFont val="DejaVu Sans"/>
        <family val="2"/>
      </rPr>
      <t xml:space="preserve">검은 배경 </t>
    </r>
    <r>
      <rPr>
        <b/>
        <sz val="10"/>
        <color rgb="FF1A1A1A"/>
        <rFont val="맑은 고딕"/>
        <family val="2"/>
        <charset val="129"/>
      </rPr>
      <t xml:space="preserve">+ </t>
    </r>
    <r>
      <rPr>
        <b/>
        <sz val="10"/>
        <color rgb="FF1A1A1A"/>
        <rFont val="DejaVu Sans"/>
        <family val="2"/>
      </rPr>
      <t>흰 글씨</t>
    </r>
  </si>
  <si>
    <t>헤더 및 합계 행</t>
  </si>
  <si>
    <t>베이지 배경</t>
  </si>
  <si>
    <t>카테고리 헤더</t>
  </si>
  <si>
    <t>진한 베이지</t>
  </si>
  <si>
    <t>카테고리 소계</t>
  </si>
  <si>
    <r>
      <rPr>
        <i/>
        <sz val="9"/>
        <color rgb="FF8A8A8A"/>
        <rFont val="DejaVu Sans"/>
        <family val="2"/>
      </rPr>
      <t>단가는 시장 일반 기준 산정이며</t>
    </r>
    <r>
      <rPr>
        <i/>
        <sz val="9"/>
        <color rgb="FF8A8A8A"/>
        <rFont val="맑은 고딕"/>
        <family val="2"/>
        <charset val="129"/>
      </rPr>
      <t xml:space="preserve">, </t>
    </r>
    <r>
      <rPr>
        <i/>
        <sz val="9"/>
        <color rgb="FF8A8A8A"/>
        <rFont val="DejaVu Sans"/>
        <family val="2"/>
      </rPr>
      <t>사업 확정 단계에서 견적</t>
    </r>
    <r>
      <rPr>
        <i/>
        <sz val="9"/>
        <color rgb="FF8A8A8A"/>
        <rFont val="맑은 고딕"/>
        <family val="2"/>
        <charset val="129"/>
      </rPr>
      <t>·</t>
    </r>
    <r>
      <rPr>
        <i/>
        <sz val="9"/>
        <color rgb="FF8A8A8A"/>
        <rFont val="DejaVu Sans"/>
        <family val="2"/>
      </rPr>
      <t>계약 시 재산정한다</t>
    </r>
    <r>
      <rPr>
        <i/>
        <sz val="9"/>
        <color rgb="FF8A8A8A"/>
        <rFont val="맑은 고딕"/>
        <family val="2"/>
        <charset val="129"/>
      </rPr>
      <t>.</t>
    </r>
  </si>
  <si>
    <t>거리 단계 — 단일 거리 활성화</t>
  </si>
  <si>
    <r>
      <rPr>
        <sz val="10"/>
        <color rgb="FF8A8A8A"/>
        <rFont val="DejaVu Sans"/>
        <family val="2"/>
      </rPr>
      <t>단가 배수</t>
    </r>
    <r>
      <rPr>
        <sz val="10"/>
        <color rgb="FF8A8A8A"/>
        <rFont val="맑은 고딕"/>
        <family val="2"/>
        <charset val="129"/>
      </rPr>
      <t xml:space="preserve">: ×1.0 (Street </t>
    </r>
    <r>
      <rPr>
        <sz val="10"/>
        <color rgb="FF8A8A8A"/>
        <rFont val="DejaVu Sans"/>
        <family val="2"/>
      </rPr>
      <t>기준</t>
    </r>
    <r>
      <rPr>
        <sz val="10"/>
        <color rgb="FF8A8A8A"/>
        <rFont val="맑은 고딕"/>
        <family val="2"/>
        <charset val="129"/>
      </rPr>
      <t xml:space="preserve">) · </t>
    </r>
    <r>
      <rPr>
        <sz val="10"/>
        <color rgb="FF8A8A8A"/>
        <rFont val="DejaVu Sans"/>
        <family val="2"/>
      </rPr>
      <t>단위</t>
    </r>
    <r>
      <rPr>
        <sz val="10"/>
        <color rgb="FF8A8A8A"/>
        <rFont val="맑은 고딕"/>
        <family val="2"/>
        <charset val="129"/>
      </rPr>
      <t xml:space="preserve">: </t>
    </r>
    <r>
      <rPr>
        <sz val="10"/>
        <color rgb="FF8A8A8A"/>
        <rFont val="DejaVu Sans"/>
        <family val="2"/>
      </rPr>
      <t xml:space="preserve">원 </t>
    </r>
    <r>
      <rPr>
        <sz val="10"/>
        <color rgb="FF8A8A8A"/>
        <rFont val="맑은 고딕"/>
        <family val="2"/>
        <charset val="129"/>
      </rPr>
      <t xml:space="preserve">(₩) · </t>
    </r>
    <r>
      <rPr>
        <sz val="10"/>
        <color rgb="FF8A8A8A"/>
        <rFont val="DejaVu Sans"/>
        <family val="2"/>
      </rPr>
      <t>부가세 별도</t>
    </r>
  </si>
  <si>
    <t>코드</t>
  </si>
  <si>
    <t>솔루션명</t>
  </si>
  <si>
    <t>한 줄 설명</t>
  </si>
  <si>
    <r>
      <rPr>
        <b/>
        <sz val="11"/>
        <color rgb="FFFFFFFF"/>
        <rFont val="DejaVu Sans"/>
        <family val="2"/>
      </rPr>
      <t xml:space="preserve">단가 </t>
    </r>
    <r>
      <rPr>
        <b/>
        <sz val="11"/>
        <color rgb="FFFFFFFF"/>
        <rFont val="맑은 고딕"/>
        <family val="2"/>
        <charset val="129"/>
      </rPr>
      <t>(</t>
    </r>
    <r>
      <rPr>
        <b/>
        <sz val="11"/>
        <color rgb="FFFFFFFF"/>
        <rFont val="DejaVu Sans"/>
        <family val="2"/>
      </rPr>
      <t>원</t>
    </r>
    <r>
      <rPr>
        <b/>
        <sz val="11"/>
        <color rgb="FFFFFFFF"/>
        <rFont val="맑은 고딕"/>
        <family val="2"/>
        <charset val="129"/>
      </rPr>
      <t>)</t>
    </r>
  </si>
  <si>
    <t>도입</t>
  </si>
  <si>
    <r>
      <rPr>
        <b/>
        <sz val="11"/>
        <color rgb="FFFFFFFF"/>
        <rFont val="DejaVu Sans"/>
        <family val="2"/>
      </rPr>
      <t xml:space="preserve">소계 </t>
    </r>
    <r>
      <rPr>
        <b/>
        <sz val="11"/>
        <color rgb="FFFFFFFF"/>
        <rFont val="맑은 고딕"/>
        <family val="2"/>
        <charset val="129"/>
      </rPr>
      <t>(</t>
    </r>
    <r>
      <rPr>
        <b/>
        <sz val="11"/>
        <color rgb="FFFFFFFF"/>
        <rFont val="DejaVu Sans"/>
        <family val="2"/>
      </rPr>
      <t>원</t>
    </r>
    <r>
      <rPr>
        <b/>
        <sz val="11"/>
        <color rgb="FFFFFFFF"/>
        <rFont val="맑은 고딕"/>
        <family val="2"/>
        <charset val="129"/>
      </rPr>
      <t>)</t>
    </r>
  </si>
  <si>
    <r>
      <rPr>
        <b/>
        <sz val="11"/>
        <color rgb="FF1A1A1A"/>
        <rFont val="DejaVu Sans"/>
        <family val="2"/>
      </rPr>
      <t xml:space="preserve">공간   </t>
    </r>
    <r>
      <rPr>
        <b/>
        <sz val="11"/>
        <color rgb="FF1A1A1A"/>
        <rFont val="맑은 고딕"/>
        <family val="2"/>
        <charset val="129"/>
      </rPr>
      <t xml:space="preserve">·   </t>
    </r>
    <r>
      <rPr>
        <b/>
        <sz val="11"/>
        <color rgb="FF1A1A1A"/>
        <rFont val="DejaVu Sans"/>
        <family val="2"/>
      </rPr>
      <t xml:space="preserve">공실의 단기임대 활성화 </t>
    </r>
    <r>
      <rPr>
        <b/>
        <sz val="11"/>
        <color rgb="FF1A1A1A"/>
        <rFont val="맑은 고딕"/>
        <family val="2"/>
        <charset val="129"/>
      </rPr>
      <t xml:space="preserve">/ </t>
    </r>
    <r>
      <rPr>
        <b/>
        <sz val="11"/>
        <color rgb="FF1A1A1A"/>
        <rFont val="DejaVu Sans"/>
        <family val="2"/>
      </rPr>
      <t>청년의 무대</t>
    </r>
    <r>
      <rPr>
        <b/>
        <sz val="11"/>
        <color rgb="FF1A1A1A"/>
        <rFont val="맑은 고딕"/>
        <family val="2"/>
        <charset val="129"/>
      </rPr>
      <t xml:space="preserve">, </t>
    </r>
    <r>
      <rPr>
        <b/>
        <sz val="11"/>
        <color rgb="FF1A1A1A"/>
        <rFont val="DejaVu Sans"/>
        <family val="2"/>
      </rPr>
      <t>지속가능한 팝업타운</t>
    </r>
  </si>
  <si>
    <t>1-1</t>
  </si>
  <si>
    <t>임대 자원 라이프사이클 통합 시스템</t>
  </si>
  <si>
    <r>
      <rPr>
        <sz val="9.5"/>
        <color rgb="FF4A4A4A"/>
        <rFont val="DejaVu Sans"/>
        <family val="2"/>
      </rPr>
      <t>수요자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공급자 양방향 등록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매물 관리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상태 추적 통합 워크플로우</t>
    </r>
  </si>
  <si>
    <t>1-2</t>
  </si>
  <si>
    <r>
      <rPr>
        <b/>
        <sz val="10.5"/>
        <color rgb="FF1A1A1A"/>
        <rFont val="맑은 고딕"/>
        <family val="2"/>
        <charset val="129"/>
      </rPr>
      <t xml:space="preserve">AI </t>
    </r>
    <r>
      <rPr>
        <b/>
        <sz val="10.5"/>
        <color rgb="FF1A1A1A"/>
        <rFont val="DejaVu Sans"/>
        <family val="2"/>
      </rPr>
      <t>기반 매물</t>
    </r>
    <r>
      <rPr>
        <b/>
        <sz val="10.5"/>
        <color rgb="FF1A1A1A"/>
        <rFont val="맑은 고딕"/>
        <family val="2"/>
        <charset val="129"/>
      </rPr>
      <t>-</t>
    </r>
    <r>
      <rPr>
        <b/>
        <sz val="10.5"/>
        <color rgb="FF1A1A1A"/>
        <rFont val="DejaVu Sans"/>
        <family val="2"/>
      </rPr>
      <t>수요 적합도 매칭 엔진</t>
    </r>
  </si>
  <si>
    <r>
      <rPr>
        <sz val="9.5"/>
        <color rgb="FF4A4A4A"/>
        <rFont val="DejaVu Sans"/>
        <family val="2"/>
      </rPr>
      <t>임베딩 기반 브랜드 성격</t>
    </r>
    <r>
      <rPr>
        <sz val="9.5"/>
        <color rgb="FF4A4A4A"/>
        <rFont val="맑은 고딕"/>
        <family val="2"/>
        <charset val="129"/>
      </rPr>
      <t>×</t>
    </r>
    <r>
      <rPr>
        <sz val="9.5"/>
        <color rgb="FF4A4A4A"/>
        <rFont val="DejaVu Sans"/>
        <family val="2"/>
      </rPr>
      <t>동네 톤 매칭 점수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지도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필터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찜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알림</t>
    </r>
  </si>
  <si>
    <t>1-3</t>
  </si>
  <si>
    <r>
      <rPr>
        <b/>
        <sz val="10.5"/>
        <color rgb="FF1A1A1A"/>
        <rFont val="DejaVu Sans"/>
        <family val="2"/>
      </rPr>
      <t>단기 임대 계약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일정 오케스트레이션 플랫폼</t>
    </r>
  </si>
  <si>
    <r>
      <rPr>
        <sz val="9.5"/>
        <color rgb="FF4A4A4A"/>
        <rFont val="DejaVu Sans"/>
        <family val="2"/>
      </rPr>
      <t>단기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팝업 특화 표준 양식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캘린더 충돌 방지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 xml:space="preserve">전자계약 </t>
    </r>
    <r>
      <rPr>
        <sz val="9.5"/>
        <color rgb="FF4A4A4A"/>
        <rFont val="맑은 고딕"/>
        <family val="2"/>
        <charset val="129"/>
      </rPr>
      <t xml:space="preserve">API </t>
    </r>
    <r>
      <rPr>
        <sz val="9.5"/>
        <color rgb="FF4A4A4A"/>
        <rFont val="DejaVu Sans"/>
        <family val="2"/>
      </rPr>
      <t>연동</t>
    </r>
  </si>
  <si>
    <t>1-4</t>
  </si>
  <si>
    <r>
      <rPr>
        <b/>
        <sz val="10.5"/>
        <color rgb="FF1A1A1A"/>
        <rFont val="DejaVu Sans"/>
        <family val="2"/>
      </rPr>
      <t>시민 참여형 평판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신뢰 데이터 허브</t>
    </r>
  </si>
  <si>
    <r>
      <rPr>
        <sz val="9.5"/>
        <color rgb="FF4A4A4A"/>
        <rFont val="DejaVu Sans"/>
        <family val="2"/>
      </rPr>
      <t>양방향 후기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누적 신뢰 점수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운영자 검증 마크</t>
    </r>
  </si>
  <si>
    <t>1-5</t>
  </si>
  <si>
    <r>
      <rPr>
        <b/>
        <sz val="10.5"/>
        <color rgb="FF1A1A1A"/>
        <rFont val="DejaVu Sans"/>
        <family val="2"/>
      </rPr>
      <t>운영자 매물 검증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승인 워크플로우</t>
    </r>
  </si>
  <si>
    <r>
      <rPr>
        <sz val="9.5"/>
        <color rgb="FF4A4A4A"/>
        <rFont val="DejaVu Sans"/>
        <family val="2"/>
      </rPr>
      <t>사실 확인 큐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이미지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키워드 부실 매물 자동 필터링</t>
    </r>
    <r>
      <rPr>
        <sz val="9.5"/>
        <color rgb="FF4A4A4A"/>
        <rFont val="맑은 고딕"/>
        <family val="2"/>
        <charset val="129"/>
      </rPr>
      <t xml:space="preserve">, CS </t>
    </r>
    <r>
      <rPr>
        <sz val="9.5"/>
        <color rgb="FF4A4A4A"/>
        <rFont val="DejaVu Sans"/>
        <family val="2"/>
      </rPr>
      <t>통합</t>
    </r>
  </si>
  <si>
    <t>1-6</t>
  </si>
  <si>
    <r>
      <rPr>
        <b/>
        <sz val="10.5"/>
        <color rgb="FF1A1A1A"/>
        <rFont val="DejaVu Sans"/>
        <family val="2"/>
      </rPr>
      <t>입퇴실 사진 증빙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분쟁 예방 시스템</t>
    </r>
  </si>
  <si>
    <r>
      <rPr>
        <sz val="9.5"/>
        <color rgb="FF4A4A4A"/>
        <rFont val="DejaVu Sans"/>
        <family val="2"/>
      </rPr>
      <t>차 렌트 입퇴실 사진 컨셉</t>
    </r>
    <r>
      <rPr>
        <sz val="9.5"/>
        <color rgb="FF4A4A4A"/>
        <rFont val="맑은 고딕"/>
        <family val="2"/>
        <charset val="129"/>
      </rPr>
      <t xml:space="preserve">. </t>
    </r>
    <r>
      <rPr>
        <sz val="9.5"/>
        <color rgb="FF4A4A4A"/>
        <rFont val="DejaVu Sans"/>
        <family val="2"/>
      </rPr>
      <t>분쟁 발생 시 표준 증빙 자료</t>
    </r>
  </si>
  <si>
    <t>1-7</t>
  </si>
  <si>
    <t>공간 이용 분석 엔진</t>
  </si>
  <si>
    <r>
      <rPr>
        <sz val="9.5"/>
        <color rgb="FF4A4A4A"/>
        <rFont val="DejaVu Sans"/>
        <family val="2"/>
      </rPr>
      <t>체류 시간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동선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재방문 분석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임대인 리포트 자동 발송</t>
    </r>
  </si>
  <si>
    <r>
      <rPr>
        <b/>
        <sz val="11"/>
        <color rgb="FF1A1A1A"/>
        <rFont val="맑은 고딕"/>
        <family val="2"/>
        <charset val="129"/>
      </rPr>
      <t xml:space="preserve">  1. </t>
    </r>
    <r>
      <rPr>
        <b/>
        <sz val="11"/>
        <color rgb="FF1A1A1A"/>
        <rFont val="DejaVu Sans"/>
        <family val="2"/>
      </rPr>
      <t>공간 소계</t>
    </r>
  </si>
  <si>
    <r>
      <rPr>
        <b/>
        <sz val="11"/>
        <color rgb="FF1A1A1A"/>
        <rFont val="DejaVu Sans"/>
        <family val="2"/>
      </rPr>
      <t xml:space="preserve">아이템   </t>
    </r>
    <r>
      <rPr>
        <b/>
        <sz val="11"/>
        <color rgb="FF1A1A1A"/>
        <rFont val="맑은 고딕"/>
        <family val="2"/>
        <charset val="129"/>
      </rPr>
      <t xml:space="preserve">·   </t>
    </r>
    <r>
      <rPr>
        <b/>
        <sz val="11"/>
        <color rgb="FF1A1A1A"/>
        <rFont val="DejaVu Sans"/>
        <family val="2"/>
      </rPr>
      <t>청년 아이템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>특산물의 시장 검증</t>
    </r>
  </si>
  <si>
    <t>2-1</t>
  </si>
  <si>
    <r>
      <rPr>
        <b/>
        <sz val="10.5"/>
        <color rgb="FF1A1A1A"/>
        <rFont val="DejaVu Sans"/>
        <family val="2"/>
      </rPr>
      <t>청년 아이템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지역 특산물 통합 큐레이션 허브</t>
    </r>
  </si>
  <si>
    <r>
      <rPr>
        <sz val="9.5"/>
        <color rgb="FF4A4A4A"/>
        <rFont val="DejaVu Sans"/>
        <family val="2"/>
      </rPr>
      <t>생산자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상품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 xml:space="preserve">스토리 등록 </t>
    </r>
    <r>
      <rPr>
        <sz val="9.5"/>
        <color rgb="FF4A4A4A"/>
        <rFont val="맑은 고딕"/>
        <family val="2"/>
        <charset val="129"/>
      </rPr>
      <t xml:space="preserve">DB, </t>
    </r>
    <r>
      <rPr>
        <sz val="9.5"/>
        <color rgb="FF4A4A4A"/>
        <rFont val="DejaVu Sans"/>
        <family val="2"/>
      </rPr>
      <t>카테고리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시즌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태그 메타 큐레이션 운영</t>
    </r>
  </si>
  <si>
    <t>2-2</t>
  </si>
  <si>
    <r>
      <rPr>
        <b/>
        <sz val="10.5"/>
        <color rgb="FF1A1A1A"/>
        <rFont val="맑은 고딕"/>
        <family val="2"/>
        <charset val="129"/>
      </rPr>
      <t xml:space="preserve">AI </t>
    </r>
    <r>
      <rPr>
        <b/>
        <sz val="10.5"/>
        <color rgb="FF1A1A1A"/>
        <rFont val="DejaVu Sans"/>
        <family val="2"/>
      </rPr>
      <t>팝업 인테리어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진열 자동 생성 엔진</t>
    </r>
  </si>
  <si>
    <r>
      <rPr>
        <sz val="9.5"/>
        <color rgb="FF4A4A4A"/>
        <rFont val="DejaVu Sans"/>
        <family val="2"/>
      </rPr>
      <t>평수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업종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 xml:space="preserve">상품군 입력 → </t>
    </r>
    <r>
      <rPr>
        <sz val="9.5"/>
        <color rgb="FF4A4A4A"/>
        <rFont val="맑은 고딕"/>
        <family val="2"/>
        <charset val="129"/>
      </rPr>
      <t xml:space="preserve">ML </t>
    </r>
    <r>
      <rPr>
        <sz val="9.5"/>
        <color rgb="FF4A4A4A"/>
        <rFont val="DejaVu Sans"/>
        <family val="2"/>
      </rPr>
      <t>모델이 무드보드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진열 동선 자동 생성</t>
    </r>
  </si>
  <si>
    <t>2-3</t>
  </si>
  <si>
    <r>
      <rPr>
        <b/>
        <sz val="10.5"/>
        <color rgb="FF1A1A1A"/>
        <rFont val="DejaVu Sans"/>
        <family val="2"/>
      </rPr>
      <t xml:space="preserve">디지털 쇼룸 </t>
    </r>
    <r>
      <rPr>
        <b/>
        <sz val="10.5"/>
        <color rgb="FF1A1A1A"/>
        <rFont val="맑은 고딕"/>
        <family val="2"/>
        <charset val="129"/>
      </rPr>
      <t xml:space="preserve">(3D/360 WebGL) </t>
    </r>
    <r>
      <rPr>
        <b/>
        <sz val="10.5"/>
        <color rgb="FF1A1A1A"/>
        <rFont val="DejaVu Sans"/>
        <family val="2"/>
      </rPr>
      <t>플랫폼</t>
    </r>
  </si>
  <si>
    <r>
      <rPr>
        <sz val="9.5"/>
        <color rgb="FF4A4A4A"/>
        <rFont val="DejaVu Sans"/>
        <family val="2"/>
      </rPr>
      <t>매장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 xml:space="preserve">상품 </t>
    </r>
    <r>
      <rPr>
        <sz val="9.5"/>
        <color rgb="FF4A4A4A"/>
        <rFont val="맑은 고딕"/>
        <family val="2"/>
        <charset val="129"/>
      </rPr>
      <t>360</t>
    </r>
    <r>
      <rPr>
        <sz val="9.5"/>
        <color rgb="FF4A4A4A"/>
        <rFont val="DejaVu Sans"/>
        <family val="2"/>
      </rPr>
      <t>도 체험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오프라인 방문 전후 활용</t>
    </r>
  </si>
  <si>
    <t>2-4</t>
  </si>
  <si>
    <r>
      <rPr>
        <b/>
        <sz val="10.5"/>
        <color rgb="FF1A1A1A"/>
        <rFont val="DejaVu Sans"/>
        <family val="2"/>
      </rPr>
      <t>커머스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자사몰 연동 시스템</t>
    </r>
  </si>
  <si>
    <r>
      <rPr>
        <sz val="9.5"/>
        <color rgb="FF4A4A4A"/>
        <rFont val="DejaVu Sans"/>
        <family val="2"/>
      </rPr>
      <t xml:space="preserve">결제 </t>
    </r>
    <r>
      <rPr>
        <sz val="9.5"/>
        <color rgb="FF4A4A4A"/>
        <rFont val="맑은 고딕"/>
        <family val="2"/>
        <charset val="129"/>
      </rPr>
      <t>PG·</t>
    </r>
    <r>
      <rPr>
        <sz val="9.5"/>
        <color rgb="FF4A4A4A"/>
        <rFont val="DejaVu Sans"/>
        <family val="2"/>
      </rPr>
      <t>재고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자사몰</t>
    </r>
    <r>
      <rPr>
        <sz val="9.5"/>
        <color rgb="FF4A4A4A"/>
        <rFont val="맑은 고딕"/>
        <family val="2"/>
        <charset val="129"/>
      </rPr>
      <t xml:space="preserve">(Shopify·Cafe24) </t>
    </r>
    <r>
      <rPr>
        <sz val="9.5"/>
        <color rgb="FF4A4A4A"/>
        <rFont val="DejaVu Sans"/>
        <family val="2"/>
      </rPr>
      <t>연동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현장→자사몰 재구매 전환</t>
    </r>
  </si>
  <si>
    <t>2-5</t>
  </si>
  <si>
    <t>테스트 팝업타운 운영 플랫폼</t>
  </si>
  <si>
    <r>
      <rPr>
        <sz val="9.5"/>
        <color rgb="FF4A4A4A"/>
        <rFont val="DejaVu Sans"/>
        <family val="2"/>
      </rPr>
      <t>청년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창작자의 시장 검증 통합 환경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매출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반응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재방문 자동 수집</t>
    </r>
  </si>
  <si>
    <t>2-6</t>
  </si>
  <si>
    <r>
      <rPr>
        <b/>
        <sz val="10.5"/>
        <color rgb="FF1A1A1A"/>
        <rFont val="DejaVu Sans"/>
        <family val="2"/>
      </rPr>
      <t>팝업 오너</t>
    </r>
    <r>
      <rPr>
        <b/>
        <sz val="10.5"/>
        <color rgb="FF1A1A1A"/>
        <rFont val="맑은 고딕"/>
        <family val="2"/>
        <charset val="129"/>
      </rPr>
      <t xml:space="preserve">(Owner) </t>
    </r>
    <r>
      <rPr>
        <b/>
        <sz val="10.5"/>
        <color rgb="FF1A1A1A"/>
        <rFont val="DejaVu Sans"/>
        <family val="2"/>
      </rPr>
      <t>운영 대시보드</t>
    </r>
  </si>
  <si>
    <r>
      <rPr>
        <sz val="9.5"/>
        <color rgb="FF4A4A4A"/>
        <rFont val="DejaVu Sans"/>
        <family val="2"/>
      </rPr>
      <t>입점 브랜드 전용 매출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재고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예약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 xml:space="preserve">운영 </t>
    </r>
    <r>
      <rPr>
        <sz val="9.5"/>
        <color rgb="FF4A4A4A"/>
        <rFont val="맑은 고딕"/>
        <family val="2"/>
        <charset val="129"/>
      </rPr>
      <t xml:space="preserve">KPI </t>
    </r>
    <r>
      <rPr>
        <sz val="9.5"/>
        <color rgb="FF4A4A4A"/>
        <rFont val="DejaVu Sans"/>
        <family val="2"/>
      </rPr>
      <t>통합 대시보드</t>
    </r>
  </si>
  <si>
    <t>2-7</t>
  </si>
  <si>
    <r>
      <rPr>
        <b/>
        <sz val="10.5"/>
        <color rgb="FF1A1A1A"/>
        <rFont val="맑은 고딕"/>
        <family val="2"/>
        <charset val="129"/>
      </rPr>
      <t xml:space="preserve">AI </t>
    </r>
    <r>
      <rPr>
        <b/>
        <sz val="10.5"/>
        <color rgb="FF1A1A1A"/>
        <rFont val="DejaVu Sans"/>
        <family val="2"/>
      </rPr>
      <t>추천 코스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팝업 패키지 큐레이션 엔진</t>
    </r>
  </si>
  <si>
    <r>
      <rPr>
        <sz val="9.5"/>
        <color rgb="FF4A4A4A"/>
        <rFont val="DejaVu Sans"/>
        <family val="2"/>
      </rPr>
      <t>방문객 타깃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테마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시즌별 추천 코스 자동 생성</t>
    </r>
  </si>
  <si>
    <t>2-8</t>
  </si>
  <si>
    <r>
      <rPr>
        <b/>
        <sz val="10.5"/>
        <color rgb="FF1A1A1A"/>
        <rFont val="DejaVu Sans"/>
        <family val="2"/>
      </rPr>
      <t>상품 자동 태깅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검색 엔진</t>
    </r>
  </si>
  <si>
    <r>
      <rPr>
        <sz val="9.5"/>
        <color rgb="FF4A4A4A"/>
        <rFont val="맑은 고딕"/>
        <family val="2"/>
        <charset val="129"/>
      </rPr>
      <t>LLM·</t>
    </r>
    <r>
      <rPr>
        <sz val="9.5"/>
        <color rgb="FF4A4A4A"/>
        <rFont val="DejaVu Sans"/>
        <family val="2"/>
      </rPr>
      <t>비전 모델로 카테고리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키워드 자동 추출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검색 정확도 향상</t>
    </r>
  </si>
  <si>
    <r>
      <rPr>
        <b/>
        <sz val="11"/>
        <color rgb="FF1A1A1A"/>
        <rFont val="맑은 고딕"/>
        <family val="2"/>
        <charset val="129"/>
      </rPr>
      <t xml:space="preserve">  2. </t>
    </r>
    <r>
      <rPr>
        <b/>
        <sz val="11"/>
        <color rgb="FF1A1A1A"/>
        <rFont val="DejaVu Sans"/>
        <family val="2"/>
      </rPr>
      <t>아이템 소계</t>
    </r>
  </si>
  <si>
    <r>
      <rPr>
        <b/>
        <sz val="11"/>
        <color rgb="FF1A1A1A"/>
        <rFont val="DejaVu Sans"/>
        <family val="2"/>
      </rPr>
      <t xml:space="preserve">이벤트   </t>
    </r>
    <r>
      <rPr>
        <b/>
        <sz val="11"/>
        <color rgb="FF1A1A1A"/>
        <rFont val="맑은 고딕"/>
        <family val="2"/>
        <charset val="129"/>
      </rPr>
      <t xml:space="preserve">·   </t>
    </r>
    <r>
      <rPr>
        <b/>
        <sz val="11"/>
        <color rgb="FF1A1A1A"/>
        <rFont val="DejaVu Sans"/>
        <family val="2"/>
      </rPr>
      <t>페스티벌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>야시장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>영화제의 디지털 운영</t>
    </r>
  </si>
  <si>
    <t>3-1</t>
  </si>
  <si>
    <r>
      <rPr>
        <b/>
        <sz val="10.5"/>
        <color rgb="FF1A1A1A"/>
        <rFont val="DejaVu Sans"/>
        <family val="2"/>
      </rPr>
      <t>이벤트 규모별</t>
    </r>
    <r>
      <rPr>
        <b/>
        <sz val="10.5"/>
        <color rgb="FF1A1A1A"/>
        <rFont val="맑은 고딕"/>
        <family val="2"/>
        <charset val="129"/>
      </rPr>
      <t xml:space="preserve">(S/M/L/XL) </t>
    </r>
    <r>
      <rPr>
        <b/>
        <sz val="10.5"/>
        <color rgb="FF1A1A1A"/>
        <rFont val="DejaVu Sans"/>
        <family val="2"/>
      </rPr>
      <t>등록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운영 시스템</t>
    </r>
  </si>
  <si>
    <r>
      <rPr>
        <sz val="9.5"/>
        <color rgb="FF4A4A4A"/>
        <rFont val="DejaVu Sans"/>
        <family val="2"/>
      </rPr>
      <t>행사 규모별 표준 양식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워크플로우</t>
    </r>
    <r>
      <rPr>
        <sz val="9.5"/>
        <color rgb="FF4A4A4A"/>
        <rFont val="맑은 고딕"/>
        <family val="2"/>
        <charset val="129"/>
      </rPr>
      <t xml:space="preserve">. </t>
    </r>
    <r>
      <rPr>
        <sz val="9.5"/>
        <color rgb="FF4A4A4A"/>
        <rFont val="DejaVu Sans"/>
        <family val="2"/>
      </rPr>
      <t>운영팀 학습 부담 최소화</t>
    </r>
  </si>
  <si>
    <t>3-2</t>
  </si>
  <si>
    <r>
      <rPr>
        <b/>
        <sz val="10.5"/>
        <color rgb="FF1A1A1A"/>
        <rFont val="DejaVu Sans"/>
        <family val="2"/>
      </rPr>
      <t>예약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예매 통합 플랫폼</t>
    </r>
  </si>
  <si>
    <r>
      <rPr>
        <sz val="9.5"/>
        <color rgb="FF4A4A4A"/>
        <rFont val="DejaVu Sans"/>
        <family val="2"/>
      </rPr>
      <t>좌석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구역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시간대 예약</t>
    </r>
    <r>
      <rPr>
        <sz val="9.5"/>
        <color rgb="FF4A4A4A"/>
        <rFont val="맑은 고딕"/>
        <family val="2"/>
        <charset val="129"/>
      </rPr>
      <t xml:space="preserve">, PG </t>
    </r>
    <r>
      <rPr>
        <sz val="9.5"/>
        <color rgb="FF4A4A4A"/>
        <rFont val="DejaVu Sans"/>
        <family val="2"/>
      </rPr>
      <t>연동</t>
    </r>
    <r>
      <rPr>
        <sz val="9.5"/>
        <color rgb="FF4A4A4A"/>
        <rFont val="맑은 고딕"/>
        <family val="2"/>
        <charset val="129"/>
      </rPr>
      <t xml:space="preserve">, QR </t>
    </r>
    <r>
      <rPr>
        <sz val="9.5"/>
        <color rgb="FF4A4A4A"/>
        <rFont val="DejaVu Sans"/>
        <family val="2"/>
      </rPr>
      <t>티켓 자동 발행</t>
    </r>
  </si>
  <si>
    <t>3-3</t>
  </si>
  <si>
    <r>
      <rPr>
        <b/>
        <sz val="10.5"/>
        <color rgb="FF1A1A1A"/>
        <rFont val="DejaVu Sans"/>
        <family val="2"/>
      </rPr>
      <t xml:space="preserve">모바일 </t>
    </r>
    <r>
      <rPr>
        <b/>
        <sz val="10.5"/>
        <color rgb="FF1A1A1A"/>
        <rFont val="맑은 고딕"/>
        <family val="2"/>
        <charset val="129"/>
      </rPr>
      <t xml:space="preserve">QR/NFC </t>
    </r>
    <r>
      <rPr>
        <b/>
        <sz val="10.5"/>
        <color rgb="FF1A1A1A"/>
        <rFont val="DejaVu Sans"/>
        <family val="2"/>
      </rPr>
      <t>체크인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스탬프 시스템</t>
    </r>
  </si>
  <si>
    <r>
      <rPr>
        <sz val="9.5"/>
        <color rgb="FF4A4A4A"/>
        <rFont val="DejaVu Sans"/>
        <family val="2"/>
      </rPr>
      <t>별도 장비 불필요</t>
    </r>
    <r>
      <rPr>
        <sz val="9.5"/>
        <color rgb="FF4A4A4A"/>
        <rFont val="맑은 고딕"/>
        <family val="2"/>
        <charset val="129"/>
      </rPr>
      <t xml:space="preserve">. </t>
    </r>
    <r>
      <rPr>
        <sz val="9.5"/>
        <color rgb="FF4A4A4A"/>
        <rFont val="DejaVu Sans"/>
        <family val="2"/>
      </rPr>
      <t>모바일만으로 입장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스탬프 랠리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동선 추적</t>
    </r>
  </si>
  <si>
    <t>3-4</t>
  </si>
  <si>
    <t>실시간 행사 운영 대시보드</t>
  </si>
  <si>
    <r>
      <rPr>
        <sz val="9.5"/>
        <color rgb="FF4A4A4A"/>
        <rFont val="맑은 고딕"/>
        <family val="2"/>
        <charset val="129"/>
      </rPr>
      <t xml:space="preserve">WebSocket </t>
    </r>
    <r>
      <rPr>
        <sz val="9.5"/>
        <color rgb="FF4A4A4A"/>
        <rFont val="DejaVu Sans"/>
        <family val="2"/>
      </rPr>
      <t>기반 실시간 입장자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매출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이슈 모니터링</t>
    </r>
  </si>
  <si>
    <t>3-5</t>
  </si>
  <si>
    <r>
      <rPr>
        <b/>
        <sz val="10.5"/>
        <color rgb="FF1A1A1A"/>
        <rFont val="DejaVu Sans"/>
        <family val="2"/>
      </rPr>
      <t>이벤트 팀 협업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결산 자동화 워크플로우</t>
    </r>
  </si>
  <si>
    <r>
      <rPr>
        <sz val="9.5"/>
        <color rgb="FF4A4A4A"/>
        <rFont val="DejaVu Sans"/>
        <family val="2"/>
      </rPr>
      <t>부스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인력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일정 분담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행사 후 결산 리포트 자동 생성</t>
    </r>
  </si>
  <si>
    <t>3-6</t>
  </si>
  <si>
    <r>
      <rPr>
        <b/>
        <sz val="10.5"/>
        <color rgb="FF1A1A1A"/>
        <rFont val="DejaVu Sans"/>
        <family val="2"/>
      </rPr>
      <t>행사 안전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인파 관리 시스템</t>
    </r>
  </si>
  <si>
    <r>
      <rPr>
        <sz val="9.5"/>
        <color rgb="FF4A4A4A"/>
        <rFont val="DejaVu Sans"/>
        <family val="2"/>
      </rPr>
      <t>실시간 인파 밀도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동선 모니터링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안전 알림</t>
    </r>
    <r>
      <rPr>
        <sz val="9.5"/>
        <color rgb="FF4A4A4A"/>
        <rFont val="맑은 고딕"/>
        <family val="2"/>
        <charset val="129"/>
      </rPr>
      <t xml:space="preserve">. </t>
    </r>
    <r>
      <rPr>
        <sz val="9.5"/>
        <color rgb="FF4A4A4A"/>
        <rFont val="DejaVu Sans"/>
        <family val="2"/>
      </rPr>
      <t>대형 행사 책임 대응</t>
    </r>
  </si>
  <si>
    <r>
      <rPr>
        <b/>
        <sz val="11"/>
        <color rgb="FF1A1A1A"/>
        <rFont val="맑은 고딕"/>
        <family val="2"/>
        <charset val="129"/>
      </rPr>
      <t xml:space="preserve">  3. </t>
    </r>
    <r>
      <rPr>
        <b/>
        <sz val="11"/>
        <color rgb="FF1A1A1A"/>
        <rFont val="DejaVu Sans"/>
        <family val="2"/>
      </rPr>
      <t>이벤트 소계</t>
    </r>
  </si>
  <si>
    <r>
      <rPr>
        <b/>
        <sz val="11"/>
        <color rgb="FF1A1A1A"/>
        <rFont val="DejaVu Sans"/>
        <family val="2"/>
      </rPr>
      <t>네트워크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 xml:space="preserve">시너지   </t>
    </r>
    <r>
      <rPr>
        <b/>
        <sz val="11"/>
        <color rgb="FF1A1A1A"/>
        <rFont val="맑은 고딕"/>
        <family val="2"/>
        <charset val="129"/>
      </rPr>
      <t xml:space="preserve">·   Street → Town → </t>
    </r>
    <r>
      <rPr>
        <b/>
        <sz val="11"/>
        <color rgb="FF1A1A1A"/>
        <rFont val="DejaVu Sans"/>
        <family val="2"/>
      </rPr>
      <t>도시 전체의 활성화</t>
    </r>
  </si>
  <si>
    <t>4-1</t>
  </si>
  <si>
    <r>
      <rPr>
        <b/>
        <sz val="10.5"/>
        <color rgb="FF1A1A1A"/>
        <rFont val="DejaVu Sans"/>
        <family val="2"/>
      </rPr>
      <t>미션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퀘스트 게이미피케이션 프로그램</t>
    </r>
  </si>
  <si>
    <r>
      <rPr>
        <sz val="9.5"/>
        <color rgb="FF4A4A4A"/>
        <rFont val="DejaVu Sans"/>
        <family val="2"/>
      </rPr>
      <t>시민 참여형 동네 미션</t>
    </r>
    <r>
      <rPr>
        <sz val="9.5"/>
        <color rgb="FF4A4A4A"/>
        <rFont val="맑은 고딕"/>
        <family val="2"/>
        <charset val="129"/>
      </rPr>
      <t>(</t>
    </r>
    <r>
      <rPr>
        <sz val="9.5"/>
        <color rgb="FF4A4A4A"/>
        <rFont val="DejaVu Sans"/>
        <family val="2"/>
      </rPr>
      <t>도장 깨기</t>
    </r>
    <r>
      <rPr>
        <sz val="9.5"/>
        <color rgb="FF4A4A4A"/>
        <rFont val="맑은 고딕"/>
        <family val="2"/>
        <charset val="129"/>
      </rPr>
      <t xml:space="preserve">), </t>
    </r>
    <r>
      <rPr>
        <sz val="9.5"/>
        <color rgb="FF4A4A4A"/>
        <rFont val="DejaVu Sans"/>
        <family val="2"/>
      </rPr>
      <t>유동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체류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재방문 증가</t>
    </r>
  </si>
  <si>
    <t>4-2</t>
  </si>
  <si>
    <r>
      <rPr>
        <b/>
        <sz val="10.5"/>
        <color rgb="FF1A1A1A"/>
        <rFont val="맑은 고딕"/>
        <family val="2"/>
        <charset val="129"/>
      </rPr>
      <t xml:space="preserve">Street → Town </t>
    </r>
    <r>
      <rPr>
        <b/>
        <sz val="10.5"/>
        <color rgb="FF1A1A1A"/>
        <rFont val="DejaVu Sans"/>
        <family val="2"/>
      </rPr>
      <t>확산 진척 시각화 대시보드</t>
    </r>
  </si>
  <si>
    <r>
      <rPr>
        <sz val="9.5"/>
        <color rgb="FF4A4A4A"/>
        <rFont val="DejaVu Sans"/>
        <family val="2"/>
      </rPr>
      <t>거리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타운별 성과 누적 시각화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보고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홍보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다음 거리 선정 자료</t>
    </r>
  </si>
  <si>
    <t>4-3</t>
  </si>
  <si>
    <r>
      <rPr>
        <b/>
        <sz val="10.5"/>
        <color rgb="FF1A1A1A"/>
        <rFont val="DejaVu Sans"/>
        <family val="2"/>
      </rPr>
      <t xml:space="preserve">다음 </t>
    </r>
    <r>
      <rPr>
        <b/>
        <sz val="10.5"/>
        <color rgb="FF1A1A1A"/>
        <rFont val="맑은 고딕"/>
        <family val="2"/>
        <charset val="129"/>
      </rPr>
      <t xml:space="preserve">Street </t>
    </r>
    <r>
      <rPr>
        <b/>
        <sz val="10.5"/>
        <color rgb="FF1A1A1A"/>
        <rFont val="DejaVu Sans"/>
        <family val="2"/>
      </rPr>
      <t>추천 엔진</t>
    </r>
  </si>
  <si>
    <t>성과 데이터 기반 다음 확산 후보지 자동 추천</t>
  </si>
  <si>
    <t>4-4</t>
  </si>
  <si>
    <t>통합 운영 컨트롤 타워</t>
  </si>
  <si>
    <r>
      <rPr>
        <sz val="9.5"/>
        <color rgb="FF4A4A4A"/>
        <rFont val="DejaVu Sans"/>
        <family val="2"/>
      </rPr>
      <t>전 카테고리 데이터 단일 화면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정책 의사결정 보조</t>
    </r>
  </si>
  <si>
    <t>4-5</t>
  </si>
  <si>
    <t>타운 간 데이터 연동 플랫폼</t>
  </si>
  <si>
    <r>
      <rPr>
        <sz val="9.5"/>
        <color rgb="FF4A4A4A"/>
        <rFont val="맑은 고딕"/>
        <family val="2"/>
        <charset val="129"/>
      </rPr>
      <t xml:space="preserve">RESTful API + Webhook, </t>
    </r>
    <r>
      <rPr>
        <sz val="9.5"/>
        <color rgb="FF4A4A4A"/>
        <rFont val="DejaVu Sans"/>
        <family val="2"/>
      </rPr>
      <t>인접 지역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다른 지자체 데이터 연동</t>
    </r>
  </si>
  <si>
    <t>4-6</t>
  </si>
  <si>
    <r>
      <rPr>
        <b/>
        <sz val="10.5"/>
        <color rgb="FF1A1A1A"/>
        <rFont val="DejaVu Sans"/>
        <family val="2"/>
      </rPr>
      <t>자동 연계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시너지 알림 엔진</t>
    </r>
  </si>
  <si>
    <r>
      <rPr>
        <sz val="9.5"/>
        <color rgb="FF4A4A4A"/>
        <rFont val="DejaVu Sans"/>
        <family val="2"/>
      </rPr>
      <t>성과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이벤트 발생 시 자동 푸시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알림톡</t>
    </r>
    <r>
      <rPr>
        <sz val="9.5"/>
        <color rgb="FF4A4A4A"/>
        <rFont val="맑은 고딕"/>
        <family val="2"/>
        <charset val="129"/>
      </rPr>
      <t xml:space="preserve">, Retention </t>
    </r>
    <r>
      <rPr>
        <sz val="9.5"/>
        <color rgb="FF4A4A4A"/>
        <rFont val="DejaVu Sans"/>
        <family val="2"/>
      </rPr>
      <t>유도</t>
    </r>
  </si>
  <si>
    <r>
      <rPr>
        <b/>
        <sz val="11"/>
        <color rgb="FF1A1A1A"/>
        <rFont val="맑은 고딕"/>
        <family val="2"/>
        <charset val="129"/>
      </rPr>
      <t xml:space="preserve">  4. </t>
    </r>
    <r>
      <rPr>
        <b/>
        <sz val="11"/>
        <color rgb="FF1A1A1A"/>
        <rFont val="DejaVu Sans"/>
        <family val="2"/>
      </rPr>
      <t>네트워크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>시너지 소계</t>
    </r>
  </si>
  <si>
    <r>
      <rPr>
        <b/>
        <sz val="11"/>
        <color rgb="FF1A1A1A"/>
        <rFont val="DejaVu Sans"/>
        <family val="2"/>
      </rPr>
      <t>멤버십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 xml:space="preserve">지역화폐   </t>
    </r>
    <r>
      <rPr>
        <b/>
        <sz val="11"/>
        <color rgb="FF1A1A1A"/>
        <rFont val="맑은 고딕"/>
        <family val="2"/>
        <charset val="129"/>
      </rPr>
      <t>·   1</t>
    </r>
    <r>
      <rPr>
        <b/>
        <sz val="11"/>
        <color rgb="FF1A1A1A"/>
        <rFont val="DejaVu Sans"/>
        <family val="2"/>
      </rPr>
      <t>회 방문자를 도시의 팬으로</t>
    </r>
  </si>
  <si>
    <t>5-1</t>
  </si>
  <si>
    <r>
      <rPr>
        <b/>
        <sz val="10.5"/>
        <color rgb="FF1A1A1A"/>
        <rFont val="DejaVu Sans"/>
        <family val="2"/>
      </rPr>
      <t>멤버십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등급 통합 인증 시스템</t>
    </r>
  </si>
  <si>
    <r>
      <rPr>
        <sz val="9.5"/>
        <color rgb="FF4A4A4A"/>
        <rFont val="맑은 고딕"/>
        <family val="2"/>
        <charset val="129"/>
      </rPr>
      <t xml:space="preserve">OAuth2·SSO </t>
    </r>
    <r>
      <rPr>
        <sz val="9.5"/>
        <color rgb="FF4A4A4A"/>
        <rFont val="DejaVu Sans"/>
        <family val="2"/>
      </rPr>
      <t>기반 통합 인증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누적 활동 기반 등급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혜택</t>
    </r>
  </si>
  <si>
    <t>5-2</t>
  </si>
  <si>
    <r>
      <rPr>
        <b/>
        <sz val="10.5"/>
        <color rgb="FF1A1A1A"/>
        <rFont val="DejaVu Sans"/>
        <family val="2"/>
      </rPr>
      <t>쿠폰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포인트 발행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정산 엔진</t>
    </r>
  </si>
  <si>
    <r>
      <rPr>
        <sz val="9.5"/>
        <color rgb="FF4A4A4A"/>
        <rFont val="DejaVu Sans"/>
        <family val="2"/>
      </rPr>
      <t>지역 상점 사용 쿠폰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포인트 발행</t>
    </r>
    <r>
      <rPr>
        <sz val="9.5"/>
        <color rgb="FF4A4A4A"/>
        <rFont val="맑은 고딕"/>
        <family val="2"/>
        <charset val="129"/>
      </rPr>
      <t xml:space="preserve">·QR </t>
    </r>
    <r>
      <rPr>
        <sz val="9.5"/>
        <color rgb="FF4A4A4A"/>
        <rFont val="DejaVu Sans"/>
        <family val="2"/>
      </rPr>
      <t>정산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지자체 공동 발행</t>
    </r>
  </si>
  <si>
    <t>5-3</t>
  </si>
  <si>
    <r>
      <rPr>
        <b/>
        <sz val="10.5"/>
        <color rgb="FF1A1A1A"/>
        <rFont val="DejaVu Sans"/>
        <family val="2"/>
      </rPr>
      <t>지역화폐 연동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정산 플랫폼</t>
    </r>
  </si>
  <si>
    <r>
      <rPr>
        <sz val="9.5"/>
        <color rgb="FF4A4A4A"/>
        <rFont val="DejaVu Sans"/>
        <family val="2"/>
      </rPr>
      <t xml:space="preserve">기존 지자체 지역화폐 </t>
    </r>
    <r>
      <rPr>
        <sz val="9.5"/>
        <color rgb="FF4A4A4A"/>
        <rFont val="맑은 고딕"/>
        <family val="2"/>
        <charset val="129"/>
      </rPr>
      <t xml:space="preserve">API </t>
    </r>
    <r>
      <rPr>
        <sz val="9.5"/>
        <color rgb="FF4A4A4A"/>
        <rFont val="DejaVu Sans"/>
        <family val="2"/>
      </rPr>
      <t>연동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사업 결제 흐름이 곧 지역화폐 사용 확대</t>
    </r>
  </si>
  <si>
    <t>5-4</t>
  </si>
  <si>
    <r>
      <rPr>
        <b/>
        <sz val="10.5"/>
        <color rgb="FF1A1A1A"/>
        <rFont val="DejaVu Sans"/>
        <family val="2"/>
      </rPr>
      <t>리워드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게이미피케이션 프로그램</t>
    </r>
  </si>
  <si>
    <r>
      <rPr>
        <sz val="9.5"/>
        <color rgb="FF4A4A4A"/>
        <rFont val="DejaVu Sans"/>
        <family val="2"/>
      </rPr>
      <t>누적 랭킹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시즌 미션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리워드 자동 지급</t>
    </r>
  </si>
  <si>
    <t>5-5</t>
  </si>
  <si>
    <r>
      <rPr>
        <b/>
        <sz val="10.5"/>
        <color rgb="FF1A1A1A"/>
        <rFont val="DejaVu Sans"/>
        <family val="2"/>
      </rPr>
      <t>시즌 패스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콜라보 쿠폰 시스템</t>
    </r>
  </si>
  <si>
    <r>
      <rPr>
        <sz val="9.5"/>
        <color rgb="FF4A4A4A"/>
        <rFont val="DejaVu Sans"/>
        <family val="2"/>
      </rPr>
      <t>시즌별 통합 패스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다수 상점 콜라보 쿠폰 자동 발행</t>
    </r>
  </si>
  <si>
    <r>
      <rPr>
        <b/>
        <sz val="11"/>
        <color rgb="FF1A1A1A"/>
        <rFont val="맑은 고딕"/>
        <family val="2"/>
        <charset val="129"/>
      </rPr>
      <t xml:space="preserve">  5. </t>
    </r>
    <r>
      <rPr>
        <b/>
        <sz val="11"/>
        <color rgb="FF1A1A1A"/>
        <rFont val="DejaVu Sans"/>
        <family val="2"/>
      </rPr>
      <t>멤버십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>지역화폐 소계</t>
    </r>
  </si>
  <si>
    <r>
      <rPr>
        <b/>
        <sz val="11"/>
        <color rgb="FF1A1A1A"/>
        <rFont val="DejaVu Sans"/>
        <family val="2"/>
      </rPr>
      <t>성과 시각화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 xml:space="preserve">리포트   </t>
    </r>
    <r>
      <rPr>
        <b/>
        <sz val="11"/>
        <color rgb="FF1A1A1A"/>
        <rFont val="맑은 고딕"/>
        <family val="2"/>
        <charset val="129"/>
      </rPr>
      <t xml:space="preserve">·   </t>
    </r>
    <r>
      <rPr>
        <b/>
        <sz val="11"/>
        <color rgb="FF1A1A1A"/>
        <rFont val="DejaVu Sans"/>
        <family val="2"/>
      </rPr>
      <t>지자체 정책의 영구적 근거 자산</t>
    </r>
  </si>
  <si>
    <t>6-1</t>
  </si>
  <si>
    <r>
      <rPr>
        <b/>
        <sz val="10.5"/>
        <color rgb="FF1A1A1A"/>
        <rFont val="DejaVu Sans"/>
        <family val="2"/>
      </rPr>
      <t>데이터 수집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정제 파이프라인</t>
    </r>
  </si>
  <si>
    <r>
      <rPr>
        <sz val="9.5"/>
        <color rgb="FF4A4A4A"/>
        <rFont val="DejaVu Sans"/>
        <family val="2"/>
      </rPr>
      <t>공실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매칭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이벤트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소비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 xml:space="preserve">유동 데이터 표준 </t>
    </r>
    <r>
      <rPr>
        <sz val="9.5"/>
        <color rgb="FF4A4A4A"/>
        <rFont val="맑은 고딕"/>
        <family val="2"/>
        <charset val="129"/>
      </rPr>
      <t xml:space="preserve">ETL, </t>
    </r>
    <r>
      <rPr>
        <sz val="9.5"/>
        <color rgb="FF4A4A4A"/>
        <rFont val="DejaVu Sans"/>
        <family val="2"/>
      </rPr>
      <t>일배치</t>
    </r>
    <r>
      <rPr>
        <sz val="9.5"/>
        <color rgb="FF4A4A4A"/>
        <rFont val="맑은 고딕"/>
        <family val="2"/>
        <charset val="129"/>
      </rPr>
      <t>+</t>
    </r>
    <r>
      <rPr>
        <sz val="9.5"/>
        <color rgb="FF4A4A4A"/>
        <rFont val="DejaVu Sans"/>
        <family val="2"/>
      </rPr>
      <t>스트리밍 혼합</t>
    </r>
  </si>
  <si>
    <t>6-2</t>
  </si>
  <si>
    <t>자동 정기 리포트 생성 엔진</t>
  </si>
  <si>
    <r>
      <rPr>
        <sz val="9.5"/>
        <color rgb="FF4A4A4A"/>
        <rFont val="DejaVu Sans"/>
        <family val="2"/>
      </rPr>
      <t>월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 xml:space="preserve">분기 </t>
    </r>
    <r>
      <rPr>
        <sz val="9.5"/>
        <color rgb="FF4A4A4A"/>
        <rFont val="맑은 고딕"/>
        <family val="2"/>
        <charset val="129"/>
      </rPr>
      <t xml:space="preserve">PDF </t>
    </r>
    <r>
      <rPr>
        <sz val="9.5"/>
        <color rgb="FF4A4A4A"/>
        <rFont val="DejaVu Sans"/>
        <family val="2"/>
      </rPr>
      <t>리포트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 xml:space="preserve">템플릿 차트 </t>
    </r>
    <r>
      <rPr>
        <sz val="9.5"/>
        <color rgb="FF4A4A4A"/>
        <rFont val="맑은 고딕"/>
        <family val="2"/>
        <charset val="129"/>
      </rPr>
      <t xml:space="preserve">+ LLM </t>
    </r>
    <r>
      <rPr>
        <sz val="9.5"/>
        <color rgb="FF4A4A4A"/>
        <rFont val="DejaVu Sans"/>
        <family val="2"/>
      </rPr>
      <t>텍스트 생성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자동 배포</t>
    </r>
  </si>
  <si>
    <t>6-3</t>
  </si>
  <si>
    <r>
      <rPr>
        <b/>
        <sz val="10.5"/>
        <color rgb="FF1A1A1A"/>
        <rFont val="DejaVu Sans"/>
        <family val="2"/>
      </rPr>
      <t xml:space="preserve">지자체용 </t>
    </r>
    <r>
      <rPr>
        <b/>
        <sz val="10.5"/>
        <color rgb="FF1A1A1A"/>
        <rFont val="맑은 고딕"/>
        <family val="2"/>
        <charset val="129"/>
      </rPr>
      <t xml:space="preserve">BI </t>
    </r>
    <r>
      <rPr>
        <b/>
        <sz val="10.5"/>
        <color rgb="FF1A1A1A"/>
        <rFont val="DejaVu Sans"/>
        <family val="2"/>
      </rPr>
      <t>대시보드</t>
    </r>
  </si>
  <si>
    <r>
      <rPr>
        <sz val="9.5"/>
        <color rgb="FF4A4A4A"/>
        <rFont val="DejaVu Sans"/>
        <family val="2"/>
      </rPr>
      <t>드래그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드롭 필터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시계열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코호트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퍼널 분석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별도 학습 불필요</t>
    </r>
  </si>
  <si>
    <t>6-4</t>
  </si>
  <si>
    <r>
      <rPr>
        <b/>
        <sz val="10.5"/>
        <color rgb="FF1A1A1A"/>
        <rFont val="DejaVu Sans"/>
        <family val="2"/>
      </rPr>
      <t>시민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임차인 자동 만족도 설문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집계 시스템</t>
    </r>
  </si>
  <si>
    <r>
      <rPr>
        <sz val="9.5"/>
        <color rgb="FF4A4A4A"/>
        <rFont val="DejaVu Sans"/>
        <family val="2"/>
      </rPr>
      <t>자동 설문 발송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수집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 xml:space="preserve">정량 지표 </t>
    </r>
    <r>
      <rPr>
        <sz val="9.5"/>
        <color rgb="FF4A4A4A"/>
        <rFont val="맑은 고딕"/>
        <family val="2"/>
        <charset val="129"/>
      </rPr>
      <t xml:space="preserve">+ </t>
    </r>
    <r>
      <rPr>
        <sz val="9.5"/>
        <color rgb="FF4A4A4A"/>
        <rFont val="DejaVu Sans"/>
        <family val="2"/>
      </rPr>
      <t>정성 피드백 통합 리포트</t>
    </r>
  </si>
  <si>
    <t>6-5</t>
  </si>
  <si>
    <r>
      <rPr>
        <b/>
        <sz val="10.5"/>
        <color rgb="FF1A1A1A"/>
        <rFont val="DejaVu Sans"/>
        <family val="2"/>
      </rPr>
      <t>개인정보 비식별화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보안 시스템</t>
    </r>
  </si>
  <si>
    <r>
      <rPr>
        <sz val="9.5"/>
        <color rgb="FF4A4A4A"/>
        <rFont val="DejaVu Sans"/>
        <family val="2"/>
      </rPr>
      <t>개인정보보호법</t>
    </r>
    <r>
      <rPr>
        <sz val="9.5"/>
        <color rgb="FF4A4A4A"/>
        <rFont val="맑은 고딕"/>
        <family val="2"/>
        <charset val="129"/>
      </rPr>
      <t xml:space="preserve">·ISMS-P </t>
    </r>
    <r>
      <rPr>
        <sz val="9.5"/>
        <color rgb="FF4A4A4A"/>
        <rFont val="DejaVu Sans"/>
        <family val="2"/>
      </rPr>
      <t>기준 자동 비식별화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데이터 활용 안전성 확보</t>
    </r>
  </si>
  <si>
    <t>6-6</t>
  </si>
  <si>
    <t>정책 효과 시뮬레이션 엔진</t>
  </si>
  <si>
    <r>
      <rPr>
        <sz val="9.5"/>
        <color rgb="FF4A4A4A"/>
        <rFont val="DejaVu Sans"/>
        <family val="2"/>
      </rPr>
      <t>정책 변경 전 사전 시뮬레이션</t>
    </r>
    <r>
      <rPr>
        <sz val="9.5"/>
        <color rgb="FF4A4A4A"/>
        <rFont val="맑은 고딕"/>
        <family val="2"/>
        <charset val="129"/>
      </rPr>
      <t xml:space="preserve">, A/B </t>
    </r>
    <r>
      <rPr>
        <sz val="9.5"/>
        <color rgb="FF4A4A4A"/>
        <rFont val="DejaVu Sans"/>
        <family val="2"/>
      </rPr>
      <t>비교</t>
    </r>
  </si>
  <si>
    <r>
      <rPr>
        <b/>
        <sz val="11"/>
        <color rgb="FF1A1A1A"/>
        <rFont val="맑은 고딕"/>
        <family val="2"/>
        <charset val="129"/>
      </rPr>
      <t xml:space="preserve">  6. </t>
    </r>
    <r>
      <rPr>
        <b/>
        <sz val="11"/>
        <color rgb="FF1A1A1A"/>
        <rFont val="DejaVu Sans"/>
        <family val="2"/>
      </rPr>
      <t>성과 시각화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>리포트 소계</t>
    </r>
  </si>
  <si>
    <r>
      <rPr>
        <b/>
        <sz val="11"/>
        <color rgb="FF1A1A1A"/>
        <rFont val="DejaVu Sans"/>
        <family val="2"/>
      </rPr>
      <t>기타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 xml:space="preserve">프리미엄 운영   </t>
    </r>
    <r>
      <rPr>
        <b/>
        <sz val="11"/>
        <color rgb="FF1A1A1A"/>
        <rFont val="맑은 고딕"/>
        <family val="2"/>
        <charset val="129"/>
      </rPr>
      <t xml:space="preserve">·   </t>
    </r>
    <r>
      <rPr>
        <b/>
        <sz val="11"/>
        <color rgb="FF1A1A1A"/>
        <rFont val="DejaVu Sans"/>
        <family val="2"/>
      </rPr>
      <t>시장 검증된 큰 운영 기능</t>
    </r>
  </si>
  <si>
    <t>7-1</t>
  </si>
  <si>
    <r>
      <rPr>
        <b/>
        <sz val="10.5"/>
        <color rgb="FF1A1A1A"/>
        <rFont val="DejaVu Sans"/>
        <family val="2"/>
      </rPr>
      <t>줄서기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대기열 디지털화 시스템</t>
    </r>
  </si>
  <si>
    <r>
      <rPr>
        <sz val="9.5"/>
        <color rgb="FF4A4A4A"/>
        <rFont val="DejaVu Sans"/>
        <family val="2"/>
      </rPr>
      <t>원격 대기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호출 알림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대기 시간 가시화</t>
    </r>
  </si>
  <si>
    <t>7-2</t>
  </si>
  <si>
    <r>
      <rPr>
        <b/>
        <sz val="10.5"/>
        <color rgb="FF1A1A1A"/>
        <rFont val="DejaVu Sans"/>
        <family val="2"/>
      </rPr>
      <t>사이렌 오더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미리 오더 플랫폼</t>
    </r>
  </si>
  <si>
    <r>
      <rPr>
        <sz val="9.5"/>
        <color rgb="FF4A4A4A"/>
        <rFont val="DejaVu Sans"/>
        <family val="2"/>
      </rPr>
      <t>모바일 사전 주문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결제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픽업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매장 회전율 향상</t>
    </r>
  </si>
  <si>
    <t>7-3</t>
  </si>
  <si>
    <t>드라이브 스루 운영 시스템</t>
  </si>
  <si>
    <t>모바일 주문 → 차량 픽업 동선 자동 매핑</t>
  </si>
  <si>
    <t>7-4</t>
  </si>
  <si>
    <r>
      <rPr>
        <b/>
        <sz val="10.5"/>
        <color rgb="FF1A1A1A"/>
        <rFont val="DejaVu Sans"/>
        <family val="2"/>
      </rPr>
      <t>모바일 통합 주문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결제 플랫폼</t>
    </r>
  </si>
  <si>
    <r>
      <rPr>
        <sz val="9.5"/>
        <color rgb="FF4A4A4A"/>
        <rFont val="DejaVu Sans"/>
        <family val="2"/>
      </rPr>
      <t>동네 상점 통합 주문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 xml:space="preserve">결제 </t>
    </r>
    <r>
      <rPr>
        <sz val="9.5"/>
        <color rgb="FF4A4A4A"/>
        <rFont val="맑은 고딕"/>
        <family val="2"/>
        <charset val="129"/>
      </rPr>
      <t>(</t>
    </r>
    <r>
      <rPr>
        <sz val="9.5"/>
        <color rgb="FF4A4A4A"/>
        <rFont val="DejaVu Sans"/>
        <family val="2"/>
      </rPr>
      <t>경량 버전</t>
    </r>
    <r>
      <rPr>
        <sz val="9.5"/>
        <color rgb="FF4A4A4A"/>
        <rFont val="맑은 고딕"/>
        <family val="2"/>
        <charset val="129"/>
      </rPr>
      <t>)</t>
    </r>
  </si>
  <si>
    <t>7-5</t>
  </si>
  <si>
    <r>
      <rPr>
        <b/>
        <sz val="10.5"/>
        <color rgb="FF1A1A1A"/>
        <rFont val="DejaVu Sans"/>
        <family val="2"/>
      </rPr>
      <t>공간 청결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위생 점검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인증 시스템</t>
    </r>
  </si>
  <si>
    <r>
      <rPr>
        <sz val="9.5"/>
        <color rgb="FF4A4A4A"/>
        <rFont val="맑은 고딕"/>
        <family val="2"/>
        <charset val="129"/>
      </rPr>
      <t xml:space="preserve">QR </t>
    </r>
    <r>
      <rPr>
        <sz val="9.5"/>
        <color rgb="FF4A4A4A"/>
        <rFont val="DejaVu Sans"/>
        <family val="2"/>
      </rPr>
      <t>위생 인증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정기 점검 워크플로우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시민 신뢰 확보</t>
    </r>
  </si>
  <si>
    <r>
      <rPr>
        <b/>
        <sz val="11"/>
        <color rgb="FF1A1A1A"/>
        <rFont val="맑은 고딕"/>
        <family val="2"/>
        <charset val="129"/>
      </rPr>
      <t xml:space="preserve">  7. </t>
    </r>
    <r>
      <rPr>
        <b/>
        <sz val="11"/>
        <color rgb="FF1A1A1A"/>
        <rFont val="DejaVu Sans"/>
        <family val="2"/>
      </rPr>
      <t>기타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>프리미엄 운영 소계</t>
    </r>
  </si>
  <si>
    <r>
      <rPr>
        <b/>
        <sz val="11"/>
        <color rgb="FF1A1A1A"/>
        <rFont val="DejaVu Sans"/>
        <family val="2"/>
      </rPr>
      <t xml:space="preserve">미션 베이스 인재 매칭   </t>
    </r>
    <r>
      <rPr>
        <b/>
        <sz val="11"/>
        <color rgb="FF1A1A1A"/>
        <rFont val="맑은 고딕"/>
        <family val="2"/>
        <charset val="129"/>
      </rPr>
      <t xml:space="preserve">·   </t>
    </r>
    <r>
      <rPr>
        <b/>
        <sz val="11"/>
        <color rgb="FF1A1A1A"/>
        <rFont val="DejaVu Sans"/>
        <family val="2"/>
      </rPr>
      <t>차별화된 구인구직</t>
    </r>
  </si>
  <si>
    <t>8-1</t>
  </si>
  <si>
    <t>미션 기반 단기 인재 매칭 플랫폼</t>
  </si>
  <si>
    <r>
      <rPr>
        <sz val="9.5"/>
        <color rgb="FF4A4A4A"/>
        <rFont val="DejaVu Sans"/>
        <family val="2"/>
      </rPr>
      <t>단발 미션</t>
    </r>
    <r>
      <rPr>
        <sz val="9.5"/>
        <color rgb="FF4A4A4A"/>
        <rFont val="맑은 고딕"/>
        <family val="2"/>
        <charset val="129"/>
      </rPr>
      <t>/</t>
    </r>
    <r>
      <rPr>
        <sz val="9.5"/>
        <color rgb="FF4A4A4A"/>
        <rFont val="DejaVu Sans"/>
        <family val="2"/>
      </rPr>
      <t>프로젝트 단위 매칭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청년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로컬 크리에이터 우선</t>
    </r>
  </si>
  <si>
    <t>8-2</t>
  </si>
  <si>
    <r>
      <rPr>
        <b/>
        <sz val="10.5"/>
        <color rgb="FF1A1A1A"/>
        <rFont val="DejaVu Sans"/>
        <family val="2"/>
      </rPr>
      <t>비전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스토리 기반 채용 큐레이션 시스템</t>
    </r>
  </si>
  <si>
    <r>
      <rPr>
        <sz val="9.5"/>
        <color rgb="FF4A4A4A"/>
        <rFont val="DejaVu Sans"/>
        <family val="2"/>
      </rPr>
      <t>단순 스펙이 아닌 비전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스토리로 매칭하는 큐레이션 워크플로우</t>
    </r>
  </si>
  <si>
    <t>8-3</t>
  </si>
  <si>
    <r>
      <rPr>
        <b/>
        <sz val="10.5"/>
        <color rgb="FF1A1A1A"/>
        <rFont val="DejaVu Sans"/>
        <family val="2"/>
      </rPr>
      <t>로컬 크리에이터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청년 풀 관리 허브</t>
    </r>
  </si>
  <si>
    <r>
      <rPr>
        <sz val="9.5"/>
        <color rgb="FF4A4A4A"/>
        <rFont val="DejaVu Sans"/>
        <family val="2"/>
      </rPr>
      <t xml:space="preserve">지역 인재 풀 </t>
    </r>
    <r>
      <rPr>
        <sz val="9.5"/>
        <color rgb="FF4A4A4A"/>
        <rFont val="맑은 고딕"/>
        <family val="2"/>
        <charset val="129"/>
      </rPr>
      <t>DB·</t>
    </r>
    <r>
      <rPr>
        <sz val="9.5"/>
        <color rgb="FF4A4A4A"/>
        <rFont val="DejaVu Sans"/>
        <family val="2"/>
      </rPr>
      <t>이력 관리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재참여 추적</t>
    </r>
  </si>
  <si>
    <t>8-4</t>
  </si>
  <si>
    <r>
      <rPr>
        <b/>
        <sz val="10.5"/>
        <color rgb="FF1A1A1A"/>
        <rFont val="DejaVu Sans"/>
        <family val="2"/>
      </rPr>
      <t>활동 이력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역량 평가 시스템</t>
    </r>
  </si>
  <si>
    <r>
      <rPr>
        <sz val="9.5"/>
        <color rgb="FF4A4A4A"/>
        <rFont val="DejaVu Sans"/>
        <family val="2"/>
      </rPr>
      <t>미션 누적 결과 자동 이력화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인재 성장 지원</t>
    </r>
  </si>
  <si>
    <t>8-5</t>
  </si>
  <si>
    <r>
      <rPr>
        <b/>
        <sz val="10.5"/>
        <color rgb="FF1A1A1A"/>
        <rFont val="DejaVu Sans"/>
        <family val="2"/>
      </rPr>
      <t>온라인 교육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역량 강화 프로그램</t>
    </r>
  </si>
  <si>
    <r>
      <rPr>
        <sz val="9.5"/>
        <color rgb="FF4A4A4A"/>
        <rFont val="DejaVu Sans"/>
        <family val="2"/>
      </rPr>
      <t>매칭 전후 짧은 교육 콘텐츠 제공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지역 인재 역량 강화</t>
    </r>
  </si>
  <si>
    <r>
      <rPr>
        <b/>
        <sz val="11"/>
        <color rgb="FF1A1A1A"/>
        <rFont val="맑은 고딕"/>
        <family val="2"/>
        <charset val="129"/>
      </rPr>
      <t xml:space="preserve">  8. </t>
    </r>
    <r>
      <rPr>
        <b/>
        <sz val="11"/>
        <color rgb="FF1A1A1A"/>
        <rFont val="DejaVu Sans"/>
        <family val="2"/>
      </rPr>
      <t>미션 베이스 인재 매칭 소계</t>
    </r>
  </si>
  <si>
    <r>
      <rPr>
        <b/>
        <sz val="11"/>
        <color rgb="FF1A1A1A"/>
        <rFont val="DejaVu Sans"/>
        <family val="2"/>
      </rPr>
      <t>포용성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 xml:space="preserve">도시 가족   </t>
    </r>
    <r>
      <rPr>
        <b/>
        <sz val="11"/>
        <color rgb="FF1A1A1A"/>
        <rFont val="맑은 고딕"/>
        <family val="2"/>
        <charset val="129"/>
      </rPr>
      <t xml:space="preserve">·   </t>
    </r>
    <r>
      <rPr>
        <b/>
        <sz val="11"/>
        <color rgb="FF1A1A1A"/>
        <rFont val="DejaVu Sans"/>
        <family val="2"/>
      </rPr>
      <t>소도시 인구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>정책 문제 대응</t>
    </r>
  </si>
  <si>
    <t>9-1</t>
  </si>
  <si>
    <r>
      <rPr>
        <b/>
        <sz val="10.5"/>
        <color rgb="FF1A1A1A"/>
        <rFont val="DejaVu Sans"/>
        <family val="2"/>
      </rPr>
      <t>노인 친화 가이드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안내 시스템</t>
    </r>
  </si>
  <si>
    <r>
      <rPr>
        <sz val="9.5"/>
        <color rgb="FF4A4A4A"/>
        <rFont val="DejaVu Sans"/>
        <family val="2"/>
      </rPr>
      <t>큰 폰트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음성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간단한 동선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 xml:space="preserve">어르신 친화 </t>
    </r>
    <r>
      <rPr>
        <sz val="9.5"/>
        <color rgb="FF4A4A4A"/>
        <rFont val="맑은 고딕"/>
        <family val="2"/>
        <charset val="129"/>
      </rPr>
      <t>UX</t>
    </r>
  </si>
  <si>
    <t>9-2</t>
  </si>
  <si>
    <r>
      <rPr>
        <b/>
        <sz val="10.5"/>
        <color rgb="FF1A1A1A"/>
        <rFont val="DejaVu Sans"/>
        <family val="2"/>
      </rPr>
      <t>키즈 웰컴 공간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동선 안내 플랫폼</t>
    </r>
  </si>
  <si>
    <r>
      <rPr>
        <sz val="9.5"/>
        <color rgb="FF4A4A4A"/>
        <rFont val="DejaVu Sans"/>
        <family val="2"/>
      </rPr>
      <t>유아 동반 가능 공간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기저귀룸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키즈존 등록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안내</t>
    </r>
  </si>
  <si>
    <t>9-3</t>
  </si>
  <si>
    <r>
      <rPr>
        <b/>
        <sz val="10.5"/>
        <color rgb="FF1A1A1A"/>
        <rFont val="DejaVu Sans"/>
        <family val="2"/>
      </rPr>
      <t>출산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육아 친화 시설 등록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매칭 시스템</t>
    </r>
  </si>
  <si>
    <r>
      <rPr>
        <sz val="9.5"/>
        <color rgb="FF4A4A4A"/>
        <rFont val="DejaVu Sans"/>
        <family val="2"/>
      </rPr>
      <t>출산 장려 정책과 직결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시민 만족도 직접 영향</t>
    </r>
  </si>
  <si>
    <t>9-4</t>
  </si>
  <si>
    <r>
      <rPr>
        <b/>
        <sz val="10.5"/>
        <color rgb="FF1A1A1A"/>
        <rFont val="DejaVu Sans"/>
        <family val="2"/>
      </rPr>
      <t>다국어 안내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번역 엔진</t>
    </r>
  </si>
  <si>
    <r>
      <rPr>
        <sz val="9.5"/>
        <color rgb="FF4A4A4A"/>
        <rFont val="DejaVu Sans"/>
        <family val="2"/>
      </rPr>
      <t>외국인 관광객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거주자 다국어 자동 안내</t>
    </r>
  </si>
  <si>
    <t>9-5</t>
  </si>
  <si>
    <r>
      <rPr>
        <b/>
        <sz val="10.5"/>
        <color rgb="FF1A1A1A"/>
        <rFont val="DejaVu Sans"/>
        <family val="2"/>
      </rPr>
      <t>교통 약자 동선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접근성 안내 시스템</t>
    </r>
  </si>
  <si>
    <r>
      <rPr>
        <sz val="9.5"/>
        <color rgb="FF4A4A4A"/>
        <rFont val="DejaVu Sans"/>
        <family val="2"/>
      </rPr>
      <t>휠체어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고령자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시각장애인 접근성 자동 가이드</t>
    </r>
  </si>
  <si>
    <t>9-6</t>
  </si>
  <si>
    <t>반려동물 동반 공간 안내 플랫폼</t>
  </si>
  <si>
    <r>
      <rPr>
        <sz val="9.5"/>
        <color rgb="FF4A4A4A"/>
        <rFont val="DejaVu Sans"/>
        <family val="2"/>
      </rPr>
      <t>펫 동반 가능 시설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동선 등록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검색</t>
    </r>
  </si>
  <si>
    <r>
      <rPr>
        <b/>
        <sz val="11"/>
        <color rgb="FF1A1A1A"/>
        <rFont val="맑은 고딕"/>
        <family val="2"/>
        <charset val="129"/>
      </rPr>
      <t xml:space="preserve">  9. </t>
    </r>
    <r>
      <rPr>
        <b/>
        <sz val="11"/>
        <color rgb="FF1A1A1A"/>
        <rFont val="DejaVu Sans"/>
        <family val="2"/>
      </rPr>
      <t>포용성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>도시 가족 소계</t>
    </r>
  </si>
  <si>
    <r>
      <rPr>
        <b/>
        <sz val="11"/>
        <color rgb="FF1A1A1A"/>
        <rFont val="DejaVu Sans"/>
        <family val="2"/>
      </rPr>
      <t>기업 유치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 xml:space="preserve">투자   </t>
    </r>
    <r>
      <rPr>
        <b/>
        <sz val="11"/>
        <color rgb="FF1A1A1A"/>
        <rFont val="맑은 고딕"/>
        <family val="2"/>
        <charset val="129"/>
      </rPr>
      <t xml:space="preserve">·   </t>
    </r>
    <r>
      <rPr>
        <b/>
        <sz val="11"/>
        <color rgb="FF1A1A1A"/>
        <rFont val="DejaVu Sans"/>
        <family val="2"/>
      </rPr>
      <t>빅브랜드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>자본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>기업 유치</t>
    </r>
  </si>
  <si>
    <t>10-1</t>
  </si>
  <si>
    <r>
      <rPr>
        <b/>
        <sz val="10.5"/>
        <color rgb="FF1A1A1A"/>
        <rFont val="DejaVu Sans"/>
        <family val="2"/>
      </rPr>
      <t>빅브랜드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앵커 테넌트 유치 매칭 플랫폼</t>
    </r>
  </si>
  <si>
    <t>도시 활성화 데이터를 근거로 빅브랜드 입점 매칭</t>
  </si>
  <si>
    <t>10-2</t>
  </si>
  <si>
    <r>
      <rPr>
        <b/>
        <sz val="10.5"/>
        <color rgb="FF1A1A1A"/>
        <rFont val="DejaVu Sans"/>
        <family val="2"/>
      </rPr>
      <t>투자 유치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창업 매칭 플랫폼</t>
    </r>
  </si>
  <si>
    <r>
      <rPr>
        <sz val="9.5"/>
        <color rgb="FF4A4A4A"/>
        <rFont val="DejaVu Sans"/>
        <family val="2"/>
      </rPr>
      <t>지역 데이터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스토리 기반 투자자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창업가 매칭</t>
    </r>
  </si>
  <si>
    <t>10-3</t>
  </si>
  <si>
    <r>
      <rPr>
        <b/>
        <sz val="10.5"/>
        <color rgb="FF1A1A1A"/>
        <rFont val="DejaVu Sans"/>
        <family val="2"/>
      </rPr>
      <t>기업 입주 인센티브 정보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매칭 시스템</t>
    </r>
  </si>
  <si>
    <r>
      <rPr>
        <sz val="9.5"/>
        <color rgb="FF4A4A4A"/>
        <rFont val="DejaVu Sans"/>
        <family val="2"/>
      </rPr>
      <t>지자체 인센티브 자동 매칭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신청 워크플로우</t>
    </r>
  </si>
  <si>
    <t>10-4</t>
  </si>
  <si>
    <r>
      <rPr>
        <b/>
        <sz val="10.5"/>
        <color rgb="FF1A1A1A"/>
        <rFont val="DejaVu Sans"/>
        <family val="2"/>
      </rPr>
      <t>본사 이전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상생 매칭 시스템</t>
    </r>
  </si>
  <si>
    <r>
      <rPr>
        <sz val="9.5"/>
        <color rgb="FF4A4A4A"/>
        <rFont val="DejaVu Sans"/>
        <family val="2"/>
      </rPr>
      <t>지방 이전 검토 기업과 지자체 매칭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상생 패키지 제공</t>
    </r>
  </si>
  <si>
    <t>10-5</t>
  </si>
  <si>
    <r>
      <rPr>
        <b/>
        <sz val="10.5"/>
        <color rgb="FF1A1A1A"/>
        <rFont val="맑은 고딕"/>
        <family val="2"/>
        <charset val="129"/>
      </rPr>
      <t xml:space="preserve">ESG/CSR </t>
    </r>
    <r>
      <rPr>
        <b/>
        <sz val="10.5"/>
        <color rgb="FF1A1A1A"/>
        <rFont val="DejaVu Sans"/>
        <family val="2"/>
      </rPr>
      <t>협력 매칭 플랫폼</t>
    </r>
  </si>
  <si>
    <r>
      <rPr>
        <sz val="9.5"/>
        <color rgb="FF4A4A4A"/>
        <rFont val="DejaVu Sans"/>
        <family val="2"/>
      </rPr>
      <t xml:space="preserve">대기업 </t>
    </r>
    <r>
      <rPr>
        <sz val="9.5"/>
        <color rgb="FF4A4A4A"/>
        <rFont val="맑은 고딕"/>
        <family val="2"/>
        <charset val="129"/>
      </rPr>
      <t xml:space="preserve">ESG </t>
    </r>
    <r>
      <rPr>
        <sz val="9.5"/>
        <color rgb="FF4A4A4A"/>
        <rFont val="DejaVu Sans"/>
        <family val="2"/>
      </rPr>
      <t>활동과 지역 사업 매칭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기업 사회 환원 채널화</t>
    </r>
  </si>
  <si>
    <r>
      <rPr>
        <b/>
        <sz val="11"/>
        <color rgb="FF1A1A1A"/>
        <rFont val="맑은 고딕"/>
        <family val="2"/>
        <charset val="129"/>
      </rPr>
      <t xml:space="preserve">  10. </t>
    </r>
    <r>
      <rPr>
        <b/>
        <sz val="11"/>
        <color rgb="FF1A1A1A"/>
        <rFont val="DejaVu Sans"/>
        <family val="2"/>
      </rPr>
      <t>기업 유치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>투자 소계</t>
    </r>
  </si>
  <si>
    <t xml:space="preserve">  총   합   계</t>
  </si>
  <si>
    <t>타운 단계 — 타운 전체 활성화</t>
  </si>
  <si>
    <r>
      <rPr>
        <sz val="10"/>
        <color rgb="FF8A8A8A"/>
        <rFont val="DejaVu Sans"/>
        <family val="2"/>
      </rPr>
      <t>단가 배수</t>
    </r>
    <r>
      <rPr>
        <sz val="10"/>
        <color rgb="FF8A8A8A"/>
        <rFont val="맑은 고딕"/>
        <family val="2"/>
        <charset val="129"/>
      </rPr>
      <t xml:space="preserve">: ×1.7 (Street </t>
    </r>
    <r>
      <rPr>
        <sz val="10"/>
        <color rgb="FF8A8A8A"/>
        <rFont val="DejaVu Sans"/>
        <family val="2"/>
      </rPr>
      <t>기준</t>
    </r>
    <r>
      <rPr>
        <sz val="10"/>
        <color rgb="FF8A8A8A"/>
        <rFont val="맑은 고딕"/>
        <family val="2"/>
        <charset val="129"/>
      </rPr>
      <t xml:space="preserve">) · </t>
    </r>
    <r>
      <rPr>
        <sz val="10"/>
        <color rgb="FF8A8A8A"/>
        <rFont val="DejaVu Sans"/>
        <family val="2"/>
      </rPr>
      <t>단위</t>
    </r>
    <r>
      <rPr>
        <sz val="10"/>
        <color rgb="FF8A8A8A"/>
        <rFont val="맑은 고딕"/>
        <family val="2"/>
        <charset val="129"/>
      </rPr>
      <t xml:space="preserve">: </t>
    </r>
    <r>
      <rPr>
        <sz val="10"/>
        <color rgb="FF8A8A8A"/>
        <rFont val="DejaVu Sans"/>
        <family val="2"/>
      </rPr>
      <t xml:space="preserve">원 </t>
    </r>
    <r>
      <rPr>
        <sz val="10"/>
        <color rgb="FF8A8A8A"/>
        <rFont val="맑은 고딕"/>
        <family val="2"/>
        <charset val="129"/>
      </rPr>
      <t xml:space="preserve">(₩) · </t>
    </r>
    <r>
      <rPr>
        <sz val="10"/>
        <color rgb="FF8A8A8A"/>
        <rFont val="DejaVu Sans"/>
        <family val="2"/>
      </rPr>
      <t>부가세 별도</t>
    </r>
  </si>
  <si>
    <r>
      <rPr>
        <b/>
        <sz val="18"/>
        <color rgb="FF1A1A1A"/>
        <rFont val="DejaVu Sans"/>
        <family val="2"/>
      </rPr>
      <t>광역 단계 — 다수 타운</t>
    </r>
    <r>
      <rPr>
        <b/>
        <sz val="18"/>
        <color rgb="FF1A1A1A"/>
        <rFont val="맑은 고딕"/>
        <family val="2"/>
        <charset val="129"/>
      </rPr>
      <t>·</t>
    </r>
    <r>
      <rPr>
        <b/>
        <sz val="18"/>
        <color rgb="FF1A1A1A"/>
        <rFont val="DejaVu Sans"/>
        <family val="2"/>
      </rPr>
      <t>광역 확산</t>
    </r>
  </si>
  <si>
    <r>
      <rPr>
        <sz val="10"/>
        <color rgb="FF8A8A8A"/>
        <rFont val="DejaVu Sans"/>
        <family val="2"/>
      </rPr>
      <t>단가 배수</t>
    </r>
    <r>
      <rPr>
        <sz val="10"/>
        <color rgb="FF8A8A8A"/>
        <rFont val="맑은 고딕"/>
        <family val="2"/>
        <charset val="129"/>
      </rPr>
      <t xml:space="preserve">: ×3.0 (Street </t>
    </r>
    <r>
      <rPr>
        <sz val="10"/>
        <color rgb="FF8A8A8A"/>
        <rFont val="DejaVu Sans"/>
        <family val="2"/>
      </rPr>
      <t>기준</t>
    </r>
    <r>
      <rPr>
        <sz val="10"/>
        <color rgb="FF8A8A8A"/>
        <rFont val="맑은 고딕"/>
        <family val="2"/>
        <charset val="129"/>
      </rPr>
      <t xml:space="preserve">) · </t>
    </r>
    <r>
      <rPr>
        <sz val="10"/>
        <color rgb="FF8A8A8A"/>
        <rFont val="DejaVu Sans"/>
        <family val="2"/>
      </rPr>
      <t>단위</t>
    </r>
    <r>
      <rPr>
        <sz val="10"/>
        <color rgb="FF8A8A8A"/>
        <rFont val="맑은 고딕"/>
        <family val="2"/>
        <charset val="129"/>
      </rPr>
      <t xml:space="preserve">: </t>
    </r>
    <r>
      <rPr>
        <sz val="10"/>
        <color rgb="FF8A8A8A"/>
        <rFont val="DejaVu Sans"/>
        <family val="2"/>
      </rPr>
      <t xml:space="preserve">원 </t>
    </r>
    <r>
      <rPr>
        <sz val="10"/>
        <color rgb="FF8A8A8A"/>
        <rFont val="맑은 고딕"/>
        <family val="2"/>
        <charset val="129"/>
      </rPr>
      <t xml:space="preserve">(₩) · </t>
    </r>
    <r>
      <rPr>
        <sz val="10"/>
        <color rgb="FF8A8A8A"/>
        <rFont val="DejaVu Sans"/>
        <family val="2"/>
      </rPr>
      <t>부가세 별도</t>
    </r>
  </si>
  <si>
    <r>
      <rPr>
        <b/>
        <sz val="18"/>
        <color rgb="FF1A1A1A"/>
        <rFont val="DejaVu Sans"/>
        <family val="2"/>
      </rPr>
      <t xml:space="preserve">단계별 </t>
    </r>
    <r>
      <rPr>
        <b/>
        <sz val="18"/>
        <color rgb="FF1A1A1A"/>
        <rFont val="맑은 고딕"/>
        <family val="2"/>
        <charset val="129"/>
      </rPr>
      <t xml:space="preserve">· </t>
    </r>
    <r>
      <rPr>
        <b/>
        <sz val="18"/>
        <color rgb="FF1A1A1A"/>
        <rFont val="DejaVu Sans"/>
        <family val="2"/>
      </rPr>
      <t>카테고리별 견적 합계</t>
    </r>
  </si>
  <si>
    <r>
      <rPr>
        <sz val="10"/>
        <color rgb="FF8A8A8A"/>
        <rFont val="DejaVu Sans"/>
        <family val="2"/>
      </rPr>
      <t xml:space="preserve">각 단계 시트에서 </t>
    </r>
    <r>
      <rPr>
        <sz val="10"/>
        <color rgb="FF8A8A8A"/>
        <rFont val="맑은 고딕"/>
        <family val="2"/>
        <charset val="129"/>
      </rPr>
      <t>[</t>
    </r>
    <r>
      <rPr>
        <sz val="10"/>
        <color rgb="FF8A8A8A"/>
        <rFont val="DejaVu Sans"/>
        <family val="2"/>
      </rPr>
      <t>도입</t>
    </r>
    <r>
      <rPr>
        <sz val="10"/>
        <color rgb="FF8A8A8A"/>
        <rFont val="맑은 고딕"/>
        <family val="2"/>
        <charset val="129"/>
      </rPr>
      <t xml:space="preserve">] </t>
    </r>
    <r>
      <rPr>
        <sz val="10"/>
        <color rgb="FF8A8A8A"/>
        <rFont val="DejaVu Sans"/>
        <family val="2"/>
      </rPr>
      <t xml:space="preserve">체크 변경 시 자동 갱신 </t>
    </r>
    <r>
      <rPr>
        <sz val="10"/>
        <color rgb="FF8A8A8A"/>
        <rFont val="맑은 고딕"/>
        <family val="2"/>
        <charset val="129"/>
      </rPr>
      <t xml:space="preserve">· </t>
    </r>
    <r>
      <rPr>
        <sz val="10"/>
        <color rgb="FF8A8A8A"/>
        <rFont val="DejaVu Sans"/>
        <family val="2"/>
      </rPr>
      <t>단위</t>
    </r>
    <r>
      <rPr>
        <sz val="10"/>
        <color rgb="FF8A8A8A"/>
        <rFont val="맑은 고딕"/>
        <family val="2"/>
        <charset val="129"/>
      </rPr>
      <t xml:space="preserve">: </t>
    </r>
    <r>
      <rPr>
        <sz val="10"/>
        <color rgb="FF8A8A8A"/>
        <rFont val="DejaVu Sans"/>
        <family val="2"/>
      </rPr>
      <t xml:space="preserve">원 </t>
    </r>
    <r>
      <rPr>
        <sz val="10"/>
        <color rgb="FF8A8A8A"/>
        <rFont val="맑은 고딕"/>
        <family val="2"/>
        <charset val="129"/>
      </rPr>
      <t xml:space="preserve">(₩) · </t>
    </r>
    <r>
      <rPr>
        <sz val="10"/>
        <color rgb="FF8A8A8A"/>
        <rFont val="DejaVu Sans"/>
        <family val="2"/>
      </rPr>
      <t>부가세 별도</t>
    </r>
  </si>
  <si>
    <r>
      <rPr>
        <b/>
        <sz val="11"/>
        <color rgb="FFFFFFFF"/>
        <rFont val="맑은 고딕"/>
        <family val="2"/>
        <charset val="129"/>
      </rPr>
      <t>Street (</t>
    </r>
    <r>
      <rPr>
        <b/>
        <sz val="11"/>
        <color rgb="FFFFFFFF"/>
        <rFont val="DejaVu Sans"/>
        <family val="2"/>
      </rPr>
      <t>거리</t>
    </r>
    <r>
      <rPr>
        <b/>
        <sz val="11"/>
        <color rgb="FFFFFFFF"/>
        <rFont val="맑은 고딕"/>
        <family val="2"/>
        <charset val="129"/>
      </rPr>
      <t>)</t>
    </r>
  </si>
  <si>
    <r>
      <rPr>
        <b/>
        <sz val="11"/>
        <color rgb="FFFFFFFF"/>
        <rFont val="맑은 고딕"/>
        <family val="2"/>
        <charset val="129"/>
      </rPr>
      <t>Town (</t>
    </r>
    <r>
      <rPr>
        <b/>
        <sz val="11"/>
        <color rgb="FFFFFFFF"/>
        <rFont val="DejaVu Sans"/>
        <family val="2"/>
      </rPr>
      <t>타운</t>
    </r>
    <r>
      <rPr>
        <b/>
        <sz val="11"/>
        <color rgb="FFFFFFFF"/>
        <rFont val="맑은 고딕"/>
        <family val="2"/>
        <charset val="129"/>
      </rPr>
      <t>)</t>
    </r>
  </si>
  <si>
    <r>
      <rPr>
        <b/>
        <sz val="11"/>
        <color rgb="FFFFFFFF"/>
        <rFont val="맑은 고딕"/>
        <family val="2"/>
        <charset val="129"/>
      </rPr>
      <t>City (</t>
    </r>
    <r>
      <rPr>
        <b/>
        <sz val="11"/>
        <color rgb="FFFFFFFF"/>
        <rFont val="DejaVu Sans"/>
        <family val="2"/>
      </rPr>
      <t>광역</t>
    </r>
    <r>
      <rPr>
        <b/>
        <sz val="11"/>
        <color rgb="FFFFFFFF"/>
        <rFont val="맑은 고딕"/>
        <family val="2"/>
        <charset val="129"/>
      </rPr>
      <t>)</t>
    </r>
  </si>
  <si>
    <r>
      <rPr>
        <b/>
        <sz val="11"/>
        <color rgb="FFFFFFFF"/>
        <rFont val="맑은 고딕"/>
        <family val="2"/>
        <charset val="129"/>
      </rPr>
      <t xml:space="preserve">Street </t>
    </r>
    <r>
      <rPr>
        <b/>
        <sz val="11"/>
        <color rgb="FFFFFFFF"/>
        <rFont val="DejaVu Sans"/>
        <family val="2"/>
      </rPr>
      <t>비중</t>
    </r>
  </si>
  <si>
    <r>
      <rPr>
        <b/>
        <sz val="10.5"/>
        <color rgb="FF1A1A1A"/>
        <rFont val="DejaVu Sans"/>
        <family val="2"/>
      </rPr>
      <t>네트워크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시너지</t>
    </r>
  </si>
  <si>
    <r>
      <rPr>
        <b/>
        <sz val="10.5"/>
        <color rgb="FF1A1A1A"/>
        <rFont val="DejaVu Sans"/>
        <family val="2"/>
      </rPr>
      <t>멤버십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지역화폐</t>
    </r>
  </si>
  <si>
    <r>
      <rPr>
        <b/>
        <sz val="10.5"/>
        <color rgb="FF1A1A1A"/>
        <rFont val="DejaVu Sans"/>
        <family val="2"/>
      </rPr>
      <t>성과 시각화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리포트</t>
    </r>
  </si>
  <si>
    <r>
      <rPr>
        <b/>
        <sz val="10.5"/>
        <color rgb="FF1A1A1A"/>
        <rFont val="DejaVu Sans"/>
        <family val="2"/>
      </rPr>
      <t>기타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프리미엄 운영</t>
    </r>
  </si>
  <si>
    <r>
      <rPr>
        <b/>
        <sz val="10.5"/>
        <color rgb="FF1A1A1A"/>
        <rFont val="DejaVu Sans"/>
        <family val="2"/>
      </rPr>
      <t>포용성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도시 가족</t>
    </r>
  </si>
  <si>
    <r>
      <rPr>
        <b/>
        <sz val="10.5"/>
        <color rgb="FF1A1A1A"/>
        <rFont val="DejaVu Sans"/>
        <family val="2"/>
      </rPr>
      <t>기업 유치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투자</t>
    </r>
  </si>
  <si>
    <t>100.0%</t>
  </si>
  <si>
    <r>
      <rPr>
        <i/>
        <sz val="9"/>
        <color rgb="FF8A8A8A"/>
        <rFont val="DejaVu Sans"/>
        <family val="2"/>
      </rPr>
      <t xml:space="preserve">※ 각 단계 시트의 </t>
    </r>
    <r>
      <rPr>
        <i/>
        <sz val="9"/>
        <color rgb="FF8A8A8A"/>
        <rFont val="맑은 고딕"/>
        <family val="2"/>
        <charset val="129"/>
      </rPr>
      <t>[</t>
    </r>
    <r>
      <rPr>
        <i/>
        <sz val="9"/>
        <color rgb="FF8A8A8A"/>
        <rFont val="DejaVu Sans"/>
        <family val="2"/>
      </rPr>
      <t>도입</t>
    </r>
    <r>
      <rPr>
        <i/>
        <sz val="9"/>
        <color rgb="FF8A8A8A"/>
        <rFont val="맑은 고딕"/>
        <family val="2"/>
        <charset val="129"/>
      </rPr>
      <t xml:space="preserve">] </t>
    </r>
    <r>
      <rPr>
        <i/>
        <sz val="9"/>
        <color rgb="FF8A8A8A"/>
        <rFont val="DejaVu Sans"/>
        <family val="2"/>
      </rPr>
      <t>컬럼을 변경하면 본 표가 자동 갱신됩니다</t>
    </r>
    <r>
      <rPr>
        <i/>
        <sz val="9"/>
        <color rgb="FF8A8A8A"/>
        <rFont val="맑은 고딕"/>
        <family val="2"/>
        <charset val="129"/>
      </rPr>
      <t>.</t>
    </r>
  </si>
  <si>
    <r>
      <t>본 사업은 각 동네의 이야기를 콘텐츠로 담아 사람들이 찾아오고 싶은 공간을 조성하고</t>
    </r>
    <r>
      <rPr>
        <sz val="10.5"/>
        <color rgb="FF1A1A1A"/>
        <rFont val="맑은 고딕"/>
        <family val="2"/>
        <charset val="129"/>
      </rPr>
      <t xml:space="preserve">, </t>
    </r>
    <r>
      <rPr>
        <sz val="10.5"/>
        <color rgb="FF1A1A1A"/>
        <rFont val="DejaVu Sans"/>
        <family val="2"/>
      </rPr>
      <t>이를 진입 장벽이 낮은 단기 팝업 형태로 풀어내 임대인</t>
    </r>
    <r>
      <rPr>
        <sz val="10.5"/>
        <color rgb="FF1A1A1A"/>
        <rFont val="맑은 고딕"/>
        <family val="2"/>
        <charset val="129"/>
      </rPr>
      <t>·</t>
    </r>
    <r>
      <rPr>
        <sz val="10.5"/>
        <color rgb="FF1A1A1A"/>
        <rFont val="DejaVu Sans"/>
        <family val="2"/>
      </rPr>
      <t>청년 창작자</t>
    </r>
    <r>
      <rPr>
        <sz val="10.5"/>
        <color rgb="FF1A1A1A"/>
        <rFont val="맑은 고딕"/>
        <family val="2"/>
        <charset val="129"/>
      </rPr>
      <t>·</t>
    </r>
    <r>
      <rPr>
        <sz val="10.5"/>
        <color rgb="FF1A1A1A"/>
        <rFont val="DejaVu Sans"/>
        <family val="2"/>
      </rPr>
      <t>시민이 모두 부담 없이 참여할 수 있게 한다</t>
    </r>
    <r>
      <rPr>
        <sz val="10.5"/>
        <color rgb="FF1A1A1A"/>
        <rFont val="맑은 고딕"/>
        <family val="2"/>
        <charset val="129"/>
      </rPr>
      <t xml:space="preserve">. </t>
    </r>
    <r>
      <rPr>
        <sz val="10.5"/>
        <color rgb="FF1A1A1A"/>
        <rFont val="DejaVu Sans"/>
        <family val="2"/>
      </rPr>
      <t xml:space="preserve">본 견적서는 </t>
    </r>
    <r>
      <rPr>
        <sz val="10.5"/>
        <color rgb="FF1A1A1A"/>
        <rFont val="맑은 고딕"/>
        <family val="2"/>
        <charset val="129"/>
      </rPr>
      <t>10</t>
    </r>
    <r>
      <rPr>
        <sz val="10.5"/>
        <color rgb="FF1A1A1A"/>
        <rFont val="DejaVu Sans"/>
        <family val="2"/>
      </rPr>
      <t>개 솔루션 카테고리로 구성되며</t>
    </r>
    <r>
      <rPr>
        <sz val="10.5"/>
        <color rgb="FF1A1A1A"/>
        <rFont val="맑은 고딕"/>
        <family val="2"/>
        <charset val="129"/>
      </rPr>
      <t xml:space="preserve">, </t>
    </r>
    <r>
      <rPr>
        <sz val="10.5"/>
        <color rgb="FF1A1A1A"/>
        <rFont val="DejaVu Sans"/>
        <family val="2"/>
      </rPr>
      <t>각 솔루션은 독립적으로 도입</t>
    </r>
    <r>
      <rPr>
        <sz val="10.5"/>
        <color rgb="FF1A1A1A"/>
        <rFont val="맑은 고딕"/>
        <family val="2"/>
        <charset val="129"/>
      </rPr>
      <t>·</t>
    </r>
    <r>
      <rPr>
        <sz val="10.5"/>
        <color rgb="FF1A1A1A"/>
        <rFont val="DejaVu Sans"/>
        <family val="2"/>
      </rPr>
      <t>계약 가능하다</t>
    </r>
    <r>
      <rPr>
        <sz val="10.5"/>
        <color rgb="FF1A1A1A"/>
        <rFont val="맑은 고딕"/>
        <family val="2"/>
        <charset val="129"/>
      </rPr>
      <t xml:space="preserve">. </t>
    </r>
    <r>
      <rPr>
        <sz val="10.5"/>
        <color rgb="FF1A1A1A"/>
        <rFont val="DejaVu Sans"/>
        <family val="2"/>
      </rPr>
      <t>단계별 시트</t>
    </r>
    <r>
      <rPr>
        <sz val="10.5"/>
        <color rgb="FF1A1A1A"/>
        <rFont val="맑은 고딕"/>
        <family val="2"/>
        <charset val="129"/>
      </rPr>
      <t>(Street / Town / City)</t>
    </r>
    <r>
      <rPr>
        <sz val="10.5"/>
        <color rgb="FF1A1A1A"/>
        <rFont val="DejaVu Sans"/>
        <family val="2"/>
      </rPr>
      <t>에서 도입할 솔루션만 체크하면 견적이 자동 합산된다</t>
    </r>
    <r>
      <rPr>
        <sz val="10.5"/>
        <color rgb="FF1A1A1A"/>
        <rFont val="맑은 고딕"/>
        <family val="2"/>
        <charset val="129"/>
      </rPr>
      <t>.</t>
    </r>
    <phoneticPr fontId="4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</si>
</sst>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(#,##0\);\-"/>
    <numFmt numFmtId="177" formatCode="0.0%"/>
  </numFmts>
  <fonts count="46">
    <font>
      <sz val="11"/>
      <color theme="1"/>
      <name val="Calibri"/>
      <family val="2"/>
      <charset val="1"/>
    </font>
    <font>
      <b/>
      <sz val="20"/>
      <color rgb="FF1A1A1A"/>
      <name val="맑은 고딕"/>
      <family val="2"/>
      <charset val="129"/>
    </font>
    <font>
      <b/>
      <sz val="20"/>
      <color rgb="FF1A1A1A"/>
      <name val="DejaVu Sans"/>
      <family val="2"/>
    </font>
    <font>
      <b/>
      <sz val="12"/>
      <color rgb="FFFF5A1F"/>
      <name val="DejaVu Sans"/>
      <family val="2"/>
    </font>
    <font>
      <b/>
      <sz val="12"/>
      <color rgb="FFFF5A1F"/>
      <name val="맑은 고딕"/>
      <family val="2"/>
      <charset val="129"/>
    </font>
    <font>
      <sz val="10"/>
      <color rgb="FF8A8A8A"/>
      <name val="DejaVu Sans"/>
      <family val="2"/>
    </font>
    <font>
      <sz val="10"/>
      <color rgb="FF8A8A8A"/>
      <name val="맑은 고딕"/>
      <family val="2"/>
      <charset val="129"/>
    </font>
    <font>
      <b/>
      <sz val="14"/>
      <color rgb="FF1A1A1A"/>
      <name val="맑은 고딕"/>
      <family val="2"/>
      <charset val="129"/>
    </font>
    <font>
      <b/>
      <sz val="14"/>
      <color rgb="FF1A1A1A"/>
      <name val="DejaVu Sans"/>
      <family val="2"/>
    </font>
    <font>
      <sz val="10.5"/>
      <color rgb="FF1A1A1A"/>
      <name val="DejaVu Sans"/>
      <family val="2"/>
    </font>
    <font>
      <sz val="10.5"/>
      <color rgb="FF1A1A1A"/>
      <name val="맑은 고딕"/>
      <family val="2"/>
      <charset val="129"/>
    </font>
    <font>
      <b/>
      <sz val="11"/>
      <color rgb="FFFF5A1F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b/>
      <sz val="10"/>
      <color rgb="FFFFFFFF"/>
      <name val="DejaVu Sans"/>
      <family val="2"/>
    </font>
    <font>
      <b/>
      <sz val="14"/>
      <color rgb="FFFF5A1F"/>
      <name val="맑은 고딕"/>
      <family val="2"/>
      <charset val="129"/>
    </font>
    <font>
      <b/>
      <sz val="11"/>
      <color rgb="FF1A1A1A"/>
      <name val="DejaVu Sans"/>
      <family val="2"/>
    </font>
    <font>
      <i/>
      <sz val="10"/>
      <color rgb="FFFF5A1F"/>
      <name val="DejaVu Sans"/>
      <family val="2"/>
    </font>
    <font>
      <i/>
      <sz val="10"/>
      <color rgb="FFFF5A1F"/>
      <name val="맑은 고딕"/>
      <family val="2"/>
      <charset val="129"/>
    </font>
    <font>
      <sz val="10"/>
      <color rgb="FF4A4A4A"/>
      <name val="DejaVu Sans"/>
      <family val="2"/>
    </font>
    <font>
      <sz val="10"/>
      <color rgb="FF4A4A4A"/>
      <name val="맑은 고딕"/>
      <family val="2"/>
      <charset val="129"/>
    </font>
    <font>
      <b/>
      <sz val="11"/>
      <color rgb="FF1A1A1A"/>
      <name val="맑은 고딕"/>
      <family val="2"/>
      <charset val="129"/>
    </font>
    <font>
      <sz val="11"/>
      <color rgb="FF9C5B00"/>
      <name val="맑은 고딕"/>
      <family val="2"/>
      <charset val="129"/>
    </font>
    <font>
      <b/>
      <sz val="10"/>
      <color rgb="FF1A1A1A"/>
      <name val="DejaVu Sans"/>
      <family val="2"/>
    </font>
    <font>
      <b/>
      <sz val="10"/>
      <color rgb="FF1A1A1A"/>
      <name val="맑은 고딕"/>
      <family val="2"/>
      <charset val="129"/>
    </font>
    <font>
      <sz val="11"/>
      <color rgb="FFFFFFFF"/>
      <name val="맑은 고딕"/>
      <family val="2"/>
      <charset val="129"/>
    </font>
    <font>
      <sz val="11"/>
      <color rgb="FF1A1A1A"/>
      <name val="맑은 고딕"/>
      <family val="2"/>
      <charset val="129"/>
    </font>
    <font>
      <i/>
      <sz val="9"/>
      <color rgb="FF8A8A8A"/>
      <name val="DejaVu Sans"/>
      <family val="2"/>
    </font>
    <font>
      <i/>
      <sz val="9"/>
      <color rgb="FF8A8A8A"/>
      <name val="맑은 고딕"/>
      <family val="2"/>
      <charset val="129"/>
    </font>
    <font>
      <b/>
      <sz val="18"/>
      <color rgb="FF1A1A1A"/>
      <name val="DejaVu Sans"/>
      <family val="2"/>
    </font>
    <font>
      <b/>
      <sz val="11"/>
      <color rgb="FFFFFFFF"/>
      <name val="DejaVu Sans"/>
      <family val="2"/>
    </font>
    <font>
      <b/>
      <sz val="11"/>
      <color rgb="FFFFFFFF"/>
      <name val="맑은 고딕"/>
      <family val="2"/>
      <charset val="129"/>
    </font>
    <font>
      <b/>
      <sz val="14"/>
      <color rgb="FFFFFFFF"/>
      <name val="맑은 고딕"/>
      <family val="2"/>
      <charset val="129"/>
    </font>
    <font>
      <b/>
      <sz val="10.5"/>
      <color rgb="FF1A1A1A"/>
      <name val="DejaVu Sans"/>
      <family val="2"/>
    </font>
    <font>
      <sz val="9.5"/>
      <color rgb="FF4A4A4A"/>
      <name val="DejaVu Sans"/>
      <family val="2"/>
    </font>
    <font>
      <sz val="9.5"/>
      <color rgb="FF4A4A4A"/>
      <name val="맑은 고딕"/>
      <family val="2"/>
      <charset val="129"/>
    </font>
    <font>
      <sz val="10"/>
      <color rgb="FF1A1A1A"/>
      <name val="맑은 고딕"/>
      <family val="2"/>
      <charset val="129"/>
    </font>
    <font>
      <b/>
      <sz val="11"/>
      <color rgb="FF9C5B00"/>
      <name val="맑은 고딕"/>
      <family val="2"/>
      <charset val="129"/>
    </font>
    <font>
      <b/>
      <sz val="10.5"/>
      <color rgb="FF1A1A1A"/>
      <name val="맑은 고딕"/>
      <family val="2"/>
      <charset val="129"/>
    </font>
    <font>
      <b/>
      <sz val="12"/>
      <color rgb="FF1A1A1A"/>
      <name val="맑은 고딕"/>
      <family val="2"/>
      <charset val="129"/>
    </font>
    <font>
      <b/>
      <sz val="14"/>
      <color rgb="FFFFFFFF"/>
      <name val="DejaVu Sans"/>
      <family val="2"/>
    </font>
    <font>
      <b/>
      <sz val="18"/>
      <color rgb="FF1A1A1A"/>
      <name val="맑은 고딕"/>
      <family val="2"/>
      <charset val="129"/>
    </font>
    <font>
      <b/>
      <sz val="11"/>
      <color rgb="FF1F7A4A"/>
      <name val="맑은 고딕"/>
      <family val="2"/>
      <charset val="129"/>
    </font>
    <font>
      <b/>
      <sz val="13"/>
      <color rgb="FFFFFFFF"/>
      <name val="DejaVu Sans"/>
      <family val="2"/>
    </font>
    <font>
      <b/>
      <sz val="13"/>
      <color rgb="FFFFFFFF"/>
      <name val="맑은 고딕"/>
      <family val="2"/>
      <charset val="129"/>
    </font>
    <font>
      <b/>
      <sz val="12"/>
      <color rgb="FFFFFFFF"/>
      <name val="맑은 고딕"/>
      <family val="2"/>
      <charset val="129"/>
    </font>
    <font>
      <sz val="8"/>
      <name val="나눔명조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5A1F"/>
        <bgColor rgb="FFFF8080"/>
      </patternFill>
    </fill>
    <fill>
      <patternFill patternType="solid">
        <fgColor rgb="FFD8D2C1"/>
        <bgColor rgb="FFE6DCC4"/>
      </patternFill>
    </fill>
    <fill>
      <patternFill patternType="solid">
        <fgColor rgb="FFF4EFE6"/>
        <bgColor rgb="FFFAF6EE"/>
      </patternFill>
    </fill>
    <fill>
      <patternFill patternType="solid">
        <fgColor rgb="FF1A1A1A"/>
        <bgColor rgb="FF003300"/>
      </patternFill>
    </fill>
    <fill>
      <patternFill patternType="solid">
        <fgColor rgb="FFFAF6EE"/>
        <bgColor rgb="FFF4EFE6"/>
      </patternFill>
    </fill>
    <fill>
      <patternFill patternType="solid">
        <fgColor rgb="FFFFF7C9"/>
        <bgColor rgb="FFFAF6EE"/>
      </patternFill>
    </fill>
    <fill>
      <patternFill patternType="solid">
        <fgColor rgb="FFE6DCC4"/>
        <bgColor rgb="FFD8D2C1"/>
      </patternFill>
    </fill>
  </fills>
  <borders count="4">
    <border>
      <left/>
      <right/>
      <top/>
      <bottom/>
      <diagonal/>
    </border>
    <border>
      <left style="thin">
        <color rgb="FFD8D2C1"/>
      </left>
      <right style="thin">
        <color rgb="FFD8D2C1"/>
      </right>
      <top style="thin">
        <color rgb="FFD8D2C1"/>
      </top>
      <bottom style="thin">
        <color rgb="FFD8D2C1"/>
      </bottom>
      <diagonal/>
    </border>
    <border>
      <left style="thin">
        <color rgb="FFD8D2C1"/>
      </left>
      <right/>
      <top style="thin">
        <color rgb="FFD8D2C1"/>
      </top>
      <bottom style="thin">
        <color rgb="FFD8D2C1"/>
      </bottom>
      <diagonal/>
    </border>
    <border>
      <left style="thin">
        <color rgb="FFD8D2C1"/>
      </left>
      <right style="thin">
        <color rgb="FFD8D2C1"/>
      </right>
      <top style="medium">
        <color rgb="FF1A1A1A"/>
      </top>
      <bottom style="thin">
        <color rgb="FFD8D2C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8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18" fillId="0" borderId="2" xfId="0" applyFont="1" applyBorder="1" applyAlignment="1">
      <alignment vertical="center" indent="1"/>
    </xf>
    <xf numFmtId="0" fontId="19" fillId="0" borderId="1" xfId="0" applyFont="1" applyBorder="1" applyAlignment="1">
      <alignment vertical="center" wrapText="1" indent="1"/>
    </xf>
    <xf numFmtId="0" fontId="18" fillId="6" borderId="1" xfId="0" applyFont="1" applyFill="1" applyBorder="1" applyAlignment="1">
      <alignment vertical="center" wrapText="1" indent="1"/>
    </xf>
    <xf numFmtId="0" fontId="18" fillId="0" borderId="1" xfId="0" applyFont="1" applyBorder="1" applyAlignment="1">
      <alignment vertical="center" wrapText="1" indent="1"/>
    </xf>
    <xf numFmtId="0" fontId="13" fillId="5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 wrapText="1" indent="1"/>
    </xf>
    <xf numFmtId="0" fontId="9" fillId="0" borderId="2" xfId="0" applyFont="1" applyBorder="1" applyAlignment="1">
      <alignment vertical="center" wrapText="1" indent="1"/>
    </xf>
    <xf numFmtId="0" fontId="9" fillId="0" borderId="0" xfId="0" applyFont="1" applyAlignment="1">
      <alignment vertical="top" wrapText="1"/>
    </xf>
    <xf numFmtId="0" fontId="7" fillId="0" borderId="0" xfId="0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0" fontId="11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 indent="1"/>
    </xf>
    <xf numFmtId="0" fontId="16" fillId="0" borderId="1" xfId="0" applyFont="1" applyBorder="1" applyAlignment="1">
      <alignment vertical="center" wrapText="1" indent="1"/>
    </xf>
    <xf numFmtId="0" fontId="15" fillId="6" borderId="1" xfId="0" applyFont="1" applyFill="1" applyBorder="1" applyAlignment="1">
      <alignment vertical="center" indent="1"/>
    </xf>
    <xf numFmtId="0" fontId="16" fillId="6" borderId="1" xfId="0" applyFont="1" applyFill="1" applyBorder="1" applyAlignment="1">
      <alignment vertical="center" wrapText="1" indent="1"/>
    </xf>
    <xf numFmtId="0" fontId="17" fillId="6" borderId="1" xfId="0" applyFont="1" applyFill="1" applyBorder="1" applyAlignment="1">
      <alignment vertical="center" wrapText="1" indent="1"/>
    </xf>
    <xf numFmtId="0" fontId="17" fillId="0" borderId="1" xfId="0" applyFont="1" applyBorder="1" applyAlignment="1">
      <alignment vertical="center" wrapText="1" indent="1"/>
    </xf>
    <xf numFmtId="0" fontId="21" fillId="7" borderId="1" xfId="0" applyFont="1" applyFill="1" applyBorder="1"/>
    <xf numFmtId="0" fontId="22" fillId="0" borderId="1" xfId="0" applyFont="1" applyBorder="1" applyAlignment="1">
      <alignment vertical="center" indent="1"/>
    </xf>
    <xf numFmtId="0" fontId="24" fillId="5" borderId="1" xfId="0" applyFont="1" applyFill="1" applyBorder="1"/>
    <xf numFmtId="0" fontId="25" fillId="4" borderId="1" xfId="0" applyFont="1" applyFill="1" applyBorder="1"/>
    <xf numFmtId="0" fontId="25" fillId="8" borderId="1" xfId="0" applyFont="1" applyFill="1" applyBorder="1"/>
    <xf numFmtId="0" fontId="29" fillId="5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vertical="center" wrapText="1" indent="1"/>
    </xf>
    <xf numFmtId="0" fontId="33" fillId="0" borderId="1" xfId="0" applyFont="1" applyBorder="1" applyAlignment="1">
      <alignment vertical="center" wrapText="1" indent="1"/>
    </xf>
    <xf numFmtId="176" fontId="35" fillId="0" borderId="1" xfId="0" applyNumberFormat="1" applyFont="1" applyBorder="1" applyAlignment="1">
      <alignment horizontal="right" vertical="center" indent="1"/>
    </xf>
    <xf numFmtId="0" fontId="36" fillId="7" borderId="1" xfId="0" applyFont="1" applyFill="1" applyBorder="1" applyAlignment="1">
      <alignment horizontal="center" vertical="center"/>
    </xf>
    <xf numFmtId="176" fontId="23" fillId="0" borderId="1" xfId="0" applyNumberFormat="1" applyFont="1" applyBorder="1" applyAlignment="1">
      <alignment horizontal="right" vertical="center" indent="1"/>
    </xf>
    <xf numFmtId="0" fontId="6" fillId="6" borderId="1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vertical="center" wrapText="1" indent="1"/>
    </xf>
    <xf numFmtId="0" fontId="33" fillId="6" borderId="1" xfId="0" applyFont="1" applyFill="1" applyBorder="1" applyAlignment="1">
      <alignment vertical="center" wrapText="1" indent="1"/>
    </xf>
    <xf numFmtId="176" fontId="35" fillId="6" borderId="1" xfId="0" applyNumberFormat="1" applyFont="1" applyFill="1" applyBorder="1" applyAlignment="1">
      <alignment horizontal="right" vertical="center" indent="1"/>
    </xf>
    <xf numFmtId="176" fontId="23" fillId="6" borderId="1" xfId="0" applyNumberFormat="1" applyFont="1" applyFill="1" applyBorder="1" applyAlignment="1">
      <alignment horizontal="right" vertical="center" indent="1"/>
    </xf>
    <xf numFmtId="0" fontId="32" fillId="6" borderId="1" xfId="0" applyFont="1" applyFill="1" applyBorder="1" applyAlignment="1">
      <alignment vertical="center" wrapText="1" indent="1"/>
    </xf>
    <xf numFmtId="0" fontId="0" fillId="8" borderId="3" xfId="0" applyFill="1" applyBorder="1"/>
    <xf numFmtId="176" fontId="38" fillId="8" borderId="3" xfId="0" applyNumberFormat="1" applyFont="1" applyFill="1" applyBorder="1" applyAlignment="1">
      <alignment horizontal="right" vertical="center" indent="1"/>
    </xf>
    <xf numFmtId="0" fontId="37" fillId="0" borderId="1" xfId="0" applyFont="1" applyBorder="1" applyAlignment="1">
      <alignment vertical="center" wrapText="1" indent="1"/>
    </xf>
    <xf numFmtId="0" fontId="34" fillId="6" borderId="1" xfId="0" applyFont="1" applyFill="1" applyBorder="1" applyAlignment="1">
      <alignment vertical="center" wrapText="1" indent="1"/>
    </xf>
    <xf numFmtId="0" fontId="34" fillId="0" borderId="1" xfId="0" applyFont="1" applyBorder="1" applyAlignment="1">
      <alignment vertical="center" wrapText="1" indent="1"/>
    </xf>
    <xf numFmtId="176" fontId="31" fillId="5" borderId="1" xfId="0" applyNumberFormat="1" applyFont="1" applyFill="1" applyBorder="1" applyAlignment="1">
      <alignment horizontal="right" vertical="center" indent="1"/>
    </xf>
    <xf numFmtId="0" fontId="30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vertical="center" indent="1"/>
    </xf>
    <xf numFmtId="176" fontId="41" fillId="0" borderId="1" xfId="0" applyNumberFormat="1" applyFont="1" applyBorder="1" applyAlignment="1">
      <alignment horizontal="right" vertical="center" indent="1"/>
    </xf>
    <xf numFmtId="177" fontId="19" fillId="0" borderId="1" xfId="0" applyNumberFormat="1" applyFont="1" applyBorder="1" applyAlignment="1">
      <alignment horizontal="right" vertical="center" indent="1"/>
    </xf>
    <xf numFmtId="0" fontId="32" fillId="6" borderId="1" xfId="0" applyFont="1" applyFill="1" applyBorder="1" applyAlignment="1">
      <alignment vertical="center" indent="1"/>
    </xf>
    <xf numFmtId="176" fontId="41" fillId="6" borderId="1" xfId="0" applyNumberFormat="1" applyFont="1" applyFill="1" applyBorder="1" applyAlignment="1">
      <alignment horizontal="right" vertical="center" indent="1"/>
    </xf>
    <xf numFmtId="177" fontId="19" fillId="6" borderId="1" xfId="0" applyNumberFormat="1" applyFont="1" applyFill="1" applyBorder="1" applyAlignment="1">
      <alignment horizontal="right" vertical="center" indent="1"/>
    </xf>
    <xf numFmtId="176" fontId="43" fillId="5" borderId="1" xfId="0" applyNumberFormat="1" applyFont="1" applyFill="1" applyBorder="1" applyAlignment="1">
      <alignment horizontal="right" vertical="center" indent="1"/>
    </xf>
    <xf numFmtId="0" fontId="44" fillId="5" borderId="1" xfId="0" applyFont="1" applyFill="1" applyBorder="1" applyAlignment="1">
      <alignment horizontal="right" vertical="center" indent="1"/>
    </xf>
    <xf numFmtId="0" fontId="15" fillId="4" borderId="1" xfId="0" applyFont="1" applyFill="1" applyBorder="1" applyAlignment="1">
      <alignment vertical="center" indent="1"/>
    </xf>
    <xf numFmtId="0" fontId="20" fillId="8" borderId="3" xfId="0" applyFont="1" applyFill="1" applyBorder="1" applyAlignment="1">
      <alignment vertical="center"/>
    </xf>
    <xf numFmtId="0" fontId="39" fillId="5" borderId="1" xfId="0" applyFont="1" applyFill="1" applyBorder="1" applyAlignment="1">
      <alignment vertical="center"/>
    </xf>
    <xf numFmtId="0" fontId="42" fillId="5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4A"/>
      <rgbColor rgb="FFD8D2C1"/>
      <rgbColor rgb="FF8A8A8A"/>
      <rgbColor rgb="FF9999FF"/>
      <rgbColor rgb="FF993366"/>
      <rgbColor rgb="FFFFF7C9"/>
      <rgbColor rgb="FFF4EF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6EE"/>
      <rgbColor rgb="FFCCFFCC"/>
      <rgbColor rgb="FFFFFF99"/>
      <rgbColor rgb="FF99CCFF"/>
      <rgbColor rgb="FFFF99CC"/>
      <rgbColor rgb="FFCC99FF"/>
      <rgbColor rgb="FFE6DCC4"/>
      <rgbColor rgb="FF3366FF"/>
      <rgbColor rgb="FF33CCCC"/>
      <rgbColor rgb="FF99CC00"/>
      <rgbColor rgb="FFFFCC00"/>
      <rgbColor rgb="FFFF9900"/>
      <rgbColor rgb="FFFF5A1F"/>
      <rgbColor rgb="FF666699"/>
      <rgbColor rgb="FF969696"/>
      <rgbColor rgb="FF003366"/>
      <rgbColor rgb="FF339966"/>
      <rgbColor rgb="FF003300"/>
      <rgbColor rgb="FF1A1A1A"/>
      <rgbColor rgb="FF9C5B00"/>
      <rgbColor rgb="FF993366"/>
      <rgbColor rgb="FF333399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48"/>
  <sheetViews>
    <sheetView topLeftCell="A32" zoomScaleNormal="100" workbookViewId="0">
      <selection activeCell="J23" sqref="J23"/>
    </sheetView>
  </sheetViews>
  <sheetFormatPr baseColWidth="10" defaultColWidth="8.6640625" defaultRowHeight="15"/>
  <cols>
    <col min="1" max="1" width="2" customWidth="1"/>
    <col min="2" max="2" width="8" customWidth="1"/>
    <col min="3" max="3" width="24" customWidth="1"/>
    <col min="4" max="4" width="28" customWidth="1"/>
    <col min="5" max="5" width="18" customWidth="1"/>
    <col min="6" max="8" width="16" customWidth="1"/>
  </cols>
  <sheetData>
    <row r="2" spans="2:8" ht="3.75" customHeight="1">
      <c r="B2" s="15"/>
      <c r="C2" s="15"/>
      <c r="D2" s="15"/>
      <c r="E2" s="15"/>
      <c r="F2" s="15"/>
      <c r="G2" s="15"/>
      <c r="H2" s="15"/>
    </row>
    <row r="4" spans="2:8" ht="36" customHeight="1">
      <c r="B4" s="14" t="s">
        <v>0</v>
      </c>
      <c r="C4" s="14"/>
      <c r="D4" s="14"/>
      <c r="E4" s="14"/>
      <c r="F4" s="14"/>
      <c r="G4" s="14"/>
      <c r="H4" s="14"/>
    </row>
    <row r="5" spans="2:8" ht="21.75" customHeight="1">
      <c r="B5" s="13" t="s">
        <v>1</v>
      </c>
      <c r="C5" s="13"/>
      <c r="D5" s="13"/>
      <c r="E5" s="13"/>
      <c r="F5" s="13"/>
      <c r="G5" s="13"/>
      <c r="H5" s="13"/>
    </row>
    <row r="6" spans="2:8">
      <c r="B6" s="12" t="s">
        <v>2</v>
      </c>
      <c r="C6" s="12"/>
      <c r="D6" s="12"/>
      <c r="E6" s="12"/>
      <c r="F6" s="12"/>
      <c r="G6" s="12"/>
      <c r="H6" s="12"/>
    </row>
    <row r="8" spans="2:8" ht="1.5" customHeight="1">
      <c r="B8" s="16"/>
      <c r="C8" s="16"/>
      <c r="D8" s="16"/>
      <c r="E8" s="16"/>
      <c r="F8" s="16"/>
      <c r="G8" s="16"/>
      <c r="H8" s="16"/>
    </row>
    <row r="10" spans="2:8" ht="25.5" customHeight="1">
      <c r="B10" s="11" t="s">
        <v>3</v>
      </c>
      <c r="C10" s="11"/>
      <c r="D10" s="11"/>
      <c r="E10" s="11"/>
      <c r="F10" s="11"/>
      <c r="G10" s="11"/>
      <c r="H10" s="11"/>
    </row>
    <row r="11" spans="2:8" ht="18" customHeight="1">
      <c r="B11" s="10" t="s">
        <v>4</v>
      </c>
      <c r="C11" s="10"/>
      <c r="D11" s="10"/>
      <c r="E11" s="10"/>
      <c r="F11" s="10"/>
      <c r="G11" s="10"/>
      <c r="H11" s="10"/>
    </row>
    <row r="12" spans="2:8" ht="18" customHeight="1">
      <c r="B12" s="10"/>
      <c r="C12" s="10"/>
      <c r="D12" s="10"/>
      <c r="E12" s="10"/>
      <c r="F12" s="10"/>
      <c r="G12" s="10"/>
      <c r="H12" s="10"/>
    </row>
    <row r="13" spans="2:8" ht="18" customHeight="1">
      <c r="B13" s="10"/>
      <c r="C13" s="10"/>
      <c r="D13" s="10"/>
      <c r="E13" s="10"/>
      <c r="F13" s="10"/>
      <c r="G13" s="10"/>
      <c r="H13" s="10"/>
    </row>
    <row r="15" spans="2:8" ht="18" customHeight="1">
      <c r="B15" s="10" t="s">
        <v>291</v>
      </c>
      <c r="C15" s="10"/>
      <c r="D15" s="10"/>
      <c r="E15" s="10"/>
      <c r="F15" s="10"/>
      <c r="G15" s="10"/>
      <c r="H15" s="10"/>
    </row>
    <row r="16" spans="2:8" ht="18" customHeight="1">
      <c r="B16" s="10"/>
      <c r="C16" s="10"/>
      <c r="D16" s="10"/>
      <c r="E16" s="10"/>
      <c r="F16" s="10"/>
      <c r="G16" s="10"/>
      <c r="H16" s="10"/>
    </row>
    <row r="17" spans="2:8" ht="18" customHeight="1">
      <c r="B17" s="10"/>
      <c r="C17" s="10"/>
      <c r="D17" s="10"/>
      <c r="E17" s="10"/>
      <c r="F17" s="10"/>
      <c r="G17" s="10"/>
      <c r="H17" s="10"/>
    </row>
    <row r="19" spans="2:8" ht="25.5" customHeight="1">
      <c r="B19" s="11" t="s">
        <v>5</v>
      </c>
      <c r="C19" s="11"/>
      <c r="D19" s="11"/>
      <c r="E19" s="11"/>
      <c r="F19" s="11"/>
      <c r="G19" s="11"/>
      <c r="H19" s="11"/>
    </row>
    <row r="20" spans="2:8" ht="24" customHeight="1">
      <c r="B20" s="17" t="s">
        <v>6</v>
      </c>
      <c r="C20" s="9" t="s">
        <v>7</v>
      </c>
      <c r="D20" s="9"/>
      <c r="E20" s="9"/>
      <c r="F20" s="9"/>
      <c r="G20" s="9"/>
      <c r="H20" s="9"/>
    </row>
    <row r="21" spans="2:8" ht="24" customHeight="1">
      <c r="B21" s="17" t="s">
        <v>8</v>
      </c>
      <c r="C21" s="9" t="s">
        <v>9</v>
      </c>
      <c r="D21" s="9"/>
      <c r="E21" s="9"/>
      <c r="F21" s="9"/>
      <c r="G21" s="9"/>
      <c r="H21" s="9"/>
    </row>
    <row r="22" spans="2:8" ht="24" customHeight="1">
      <c r="B22" s="17" t="s">
        <v>10</v>
      </c>
      <c r="C22" s="9" t="s">
        <v>11</v>
      </c>
      <c r="D22" s="9"/>
      <c r="E22" s="9"/>
      <c r="F22" s="9"/>
      <c r="G22" s="9"/>
      <c r="H22" s="9"/>
    </row>
    <row r="23" spans="2:8" ht="24" customHeight="1">
      <c r="B23" s="17" t="s">
        <v>12</v>
      </c>
      <c r="C23" s="8" t="s">
        <v>13</v>
      </c>
      <c r="D23" s="8"/>
      <c r="E23" s="8"/>
      <c r="F23" s="8"/>
      <c r="G23" s="8"/>
      <c r="H23" s="8"/>
    </row>
    <row r="24" spans="2:8" ht="24" customHeight="1">
      <c r="B24" s="17" t="s">
        <v>14</v>
      </c>
      <c r="C24" s="9" t="s">
        <v>15</v>
      </c>
      <c r="D24" s="9"/>
      <c r="E24" s="9"/>
      <c r="F24" s="9"/>
      <c r="G24" s="9"/>
      <c r="H24" s="9"/>
    </row>
    <row r="27" spans="2:8" ht="25.5" customHeight="1">
      <c r="B27" s="11" t="s">
        <v>16</v>
      </c>
      <c r="C27" s="11"/>
      <c r="D27" s="11"/>
      <c r="E27" s="11"/>
      <c r="F27" s="11"/>
      <c r="G27" s="11"/>
      <c r="H27" s="11"/>
    </row>
    <row r="28" spans="2:8" ht="25.5" customHeight="1">
      <c r="B28" s="18" t="s">
        <v>17</v>
      </c>
      <c r="C28" s="19" t="s">
        <v>18</v>
      </c>
      <c r="D28" s="19" t="s">
        <v>19</v>
      </c>
      <c r="E28" s="7" t="s">
        <v>20</v>
      </c>
      <c r="F28" s="7"/>
      <c r="G28" s="7"/>
      <c r="H28" s="7"/>
    </row>
    <row r="29" spans="2:8" ht="42" customHeight="1">
      <c r="B29" s="20" t="s">
        <v>6</v>
      </c>
      <c r="C29" s="21" t="s">
        <v>21</v>
      </c>
      <c r="D29" s="22" t="s">
        <v>22</v>
      </c>
      <c r="E29" s="6" t="s">
        <v>23</v>
      </c>
      <c r="F29" s="6"/>
      <c r="G29" s="6"/>
      <c r="H29" s="6"/>
    </row>
    <row r="30" spans="2:8" ht="42" customHeight="1">
      <c r="B30" s="20" t="s">
        <v>8</v>
      </c>
      <c r="C30" s="23" t="s">
        <v>24</v>
      </c>
      <c r="D30" s="24" t="s">
        <v>25</v>
      </c>
      <c r="E30" s="5" t="s">
        <v>26</v>
      </c>
      <c r="F30" s="5"/>
      <c r="G30" s="5"/>
      <c r="H30" s="5"/>
    </row>
    <row r="31" spans="2:8" ht="42" customHeight="1">
      <c r="B31" s="20" t="s">
        <v>10</v>
      </c>
      <c r="C31" s="21" t="s">
        <v>27</v>
      </c>
      <c r="D31" s="22" t="s">
        <v>28</v>
      </c>
      <c r="E31" s="6" t="s">
        <v>29</v>
      </c>
      <c r="F31" s="6"/>
      <c r="G31" s="6"/>
      <c r="H31" s="6"/>
    </row>
    <row r="32" spans="2:8" ht="42" customHeight="1">
      <c r="B32" s="20" t="s">
        <v>12</v>
      </c>
      <c r="C32" s="23" t="s">
        <v>30</v>
      </c>
      <c r="D32" s="25" t="s">
        <v>31</v>
      </c>
      <c r="E32" s="5" t="s">
        <v>32</v>
      </c>
      <c r="F32" s="5"/>
      <c r="G32" s="5"/>
      <c r="H32" s="5"/>
    </row>
    <row r="33" spans="2:8" ht="42" customHeight="1">
      <c r="B33" s="20" t="s">
        <v>14</v>
      </c>
      <c r="C33" s="21" t="s">
        <v>33</v>
      </c>
      <c r="D33" s="26" t="s">
        <v>34</v>
      </c>
      <c r="E33" s="4" t="s">
        <v>35</v>
      </c>
      <c r="F33" s="4"/>
      <c r="G33" s="4"/>
      <c r="H33" s="4"/>
    </row>
    <row r="34" spans="2:8" ht="42" customHeight="1">
      <c r="B34" s="20" t="s">
        <v>36</v>
      </c>
      <c r="C34" s="23" t="s">
        <v>37</v>
      </c>
      <c r="D34" s="24" t="s">
        <v>38</v>
      </c>
      <c r="E34" s="5" t="s">
        <v>39</v>
      </c>
      <c r="F34" s="5"/>
      <c r="G34" s="5"/>
      <c r="H34" s="5"/>
    </row>
    <row r="35" spans="2:8" ht="42" customHeight="1">
      <c r="B35" s="20" t="s">
        <v>40</v>
      </c>
      <c r="C35" s="21" t="s">
        <v>41</v>
      </c>
      <c r="D35" s="22" t="s">
        <v>42</v>
      </c>
      <c r="E35" s="6" t="s">
        <v>43</v>
      </c>
      <c r="F35" s="6"/>
      <c r="G35" s="6"/>
      <c r="H35" s="6"/>
    </row>
    <row r="36" spans="2:8" ht="42" customHeight="1">
      <c r="B36" s="20" t="s">
        <v>44</v>
      </c>
      <c r="C36" s="23" t="s">
        <v>45</v>
      </c>
      <c r="D36" s="24" t="s">
        <v>46</v>
      </c>
      <c r="E36" s="5" t="s">
        <v>47</v>
      </c>
      <c r="F36" s="5"/>
      <c r="G36" s="5"/>
      <c r="H36" s="5"/>
    </row>
    <row r="37" spans="2:8" ht="42" customHeight="1">
      <c r="B37" s="20" t="s">
        <v>48</v>
      </c>
      <c r="C37" s="21" t="s">
        <v>49</v>
      </c>
      <c r="D37" s="22" t="s">
        <v>50</v>
      </c>
      <c r="E37" s="6" t="s">
        <v>51</v>
      </c>
      <c r="F37" s="6"/>
      <c r="G37" s="6"/>
      <c r="H37" s="6"/>
    </row>
    <row r="38" spans="2:8" ht="42" customHeight="1">
      <c r="B38" s="20" t="s">
        <v>52</v>
      </c>
      <c r="C38" s="23" t="s">
        <v>53</v>
      </c>
      <c r="D38" s="24" t="s">
        <v>54</v>
      </c>
      <c r="E38" s="5" t="s">
        <v>55</v>
      </c>
      <c r="F38" s="5"/>
      <c r="G38" s="5"/>
      <c r="H38" s="5"/>
    </row>
    <row r="41" spans="2:8" ht="25.5" customHeight="1">
      <c r="B41" s="11" t="s">
        <v>56</v>
      </c>
      <c r="C41" s="11"/>
      <c r="D41" s="11"/>
      <c r="E41" s="11"/>
      <c r="F41" s="11"/>
      <c r="G41" s="11"/>
      <c r="H41" s="11"/>
    </row>
    <row r="42" spans="2:8" ht="21.75" customHeight="1">
      <c r="B42" s="27" t="s">
        <v>57</v>
      </c>
      <c r="C42" s="28" t="s">
        <v>58</v>
      </c>
      <c r="D42" s="3" t="s">
        <v>59</v>
      </c>
      <c r="E42" s="3"/>
      <c r="F42" s="3"/>
      <c r="G42" s="3"/>
      <c r="H42" s="3"/>
    </row>
    <row r="43" spans="2:8" ht="21.75" customHeight="1">
      <c r="B43" s="29" t="s">
        <v>57</v>
      </c>
      <c r="C43" s="28" t="s">
        <v>60</v>
      </c>
      <c r="D43" s="3" t="s">
        <v>61</v>
      </c>
      <c r="E43" s="3"/>
      <c r="F43" s="3"/>
      <c r="G43" s="3"/>
      <c r="H43" s="3"/>
    </row>
    <row r="44" spans="2:8" ht="21.75" customHeight="1">
      <c r="B44" s="30" t="s">
        <v>57</v>
      </c>
      <c r="C44" s="28" t="s">
        <v>62</v>
      </c>
      <c r="D44" s="3" t="s">
        <v>63</v>
      </c>
      <c r="E44" s="3"/>
      <c r="F44" s="3"/>
      <c r="G44" s="3"/>
      <c r="H44" s="3"/>
    </row>
    <row r="45" spans="2:8" ht="21.75" customHeight="1">
      <c r="B45" s="31" t="s">
        <v>57</v>
      </c>
      <c r="C45" s="28" t="s">
        <v>64</v>
      </c>
      <c r="D45" s="3" t="s">
        <v>65</v>
      </c>
      <c r="E45" s="3"/>
      <c r="F45" s="3"/>
      <c r="G45" s="3"/>
      <c r="H45" s="3"/>
    </row>
    <row r="48" spans="2:8">
      <c r="B48" s="2" t="s">
        <v>66</v>
      </c>
      <c r="C48" s="2"/>
      <c r="D48" s="2"/>
      <c r="E48" s="2"/>
      <c r="F48" s="2"/>
      <c r="G48" s="2"/>
      <c r="H48" s="2"/>
    </row>
  </sheetData>
  <mergeCells count="30">
    <mergeCell ref="D42:H42"/>
    <mergeCell ref="D43:H43"/>
    <mergeCell ref="D44:H44"/>
    <mergeCell ref="D45:H45"/>
    <mergeCell ref="B48:H48"/>
    <mergeCell ref="E35:H35"/>
    <mergeCell ref="E36:H36"/>
    <mergeCell ref="E37:H37"/>
    <mergeCell ref="E38:H38"/>
    <mergeCell ref="B41:H41"/>
    <mergeCell ref="E30:H30"/>
    <mergeCell ref="E31:H31"/>
    <mergeCell ref="E32:H32"/>
    <mergeCell ref="E33:H33"/>
    <mergeCell ref="E34:H34"/>
    <mergeCell ref="C23:H23"/>
    <mergeCell ref="C24:H24"/>
    <mergeCell ref="B27:H27"/>
    <mergeCell ref="E28:H28"/>
    <mergeCell ref="E29:H29"/>
    <mergeCell ref="B15:H17"/>
    <mergeCell ref="B19:H19"/>
    <mergeCell ref="C20:H20"/>
    <mergeCell ref="C21:H21"/>
    <mergeCell ref="C22:H22"/>
    <mergeCell ref="B4:H4"/>
    <mergeCell ref="B5:H5"/>
    <mergeCell ref="B6:H6"/>
    <mergeCell ref="B10:H10"/>
    <mergeCell ref="B11:H13"/>
  </mergeCells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98"/>
  <sheetViews>
    <sheetView zoomScaleNormal="100" workbookViewId="0">
      <pane ySplit="7" topLeftCell="A8" activePane="bottomLeft" state="frozen"/>
      <selection pane="bottomLeft"/>
    </sheetView>
  </sheetViews>
  <sheetFormatPr baseColWidth="10" defaultColWidth="8.6640625" defaultRowHeight="15"/>
  <cols>
    <col min="1" max="1" width="2" customWidth="1"/>
    <col min="2" max="2" width="9" customWidth="1"/>
    <col min="3" max="3" width="38" customWidth="1"/>
    <col min="4" max="4" width="60" customWidth="1"/>
    <col min="5" max="5" width="16" customWidth="1"/>
    <col min="6" max="6" width="11" customWidth="1"/>
    <col min="7" max="7" width="18" customWidth="1"/>
  </cols>
  <sheetData>
    <row r="2" spans="2:8" ht="3.75" customHeight="1">
      <c r="B2" s="15"/>
      <c r="C2" s="15"/>
      <c r="D2" s="15"/>
      <c r="E2" s="15"/>
      <c r="F2" s="15"/>
      <c r="G2" s="15"/>
      <c r="H2" s="15"/>
    </row>
    <row r="4" spans="2:8" ht="31.5" customHeight="1">
      <c r="B4" s="1" t="s">
        <v>67</v>
      </c>
      <c r="C4" s="1"/>
      <c r="D4" s="1"/>
      <c r="E4" s="1"/>
      <c r="F4" s="1"/>
      <c r="G4" s="1"/>
      <c r="H4" s="1"/>
    </row>
    <row r="5" spans="2:8" ht="19.5" customHeight="1">
      <c r="B5" s="12" t="s">
        <v>68</v>
      </c>
      <c r="C5" s="12"/>
      <c r="D5" s="12"/>
      <c r="E5" s="12"/>
      <c r="F5" s="12"/>
      <c r="G5" s="12"/>
      <c r="H5" s="12"/>
    </row>
    <row r="7" spans="2:8" ht="30" customHeight="1">
      <c r="B7" s="32" t="s">
        <v>69</v>
      </c>
      <c r="C7" s="32" t="s">
        <v>70</v>
      </c>
      <c r="D7" s="32" t="s">
        <v>71</v>
      </c>
      <c r="E7" s="32" t="s">
        <v>72</v>
      </c>
      <c r="F7" s="32" t="s">
        <v>73</v>
      </c>
      <c r="G7" s="32" t="s">
        <v>74</v>
      </c>
    </row>
    <row r="8" spans="2:8" ht="27.75" customHeight="1">
      <c r="B8" s="33" t="s">
        <v>6</v>
      </c>
      <c r="C8" s="62" t="s">
        <v>75</v>
      </c>
      <c r="D8" s="62"/>
      <c r="E8" s="62"/>
      <c r="F8" s="62"/>
      <c r="G8" s="62"/>
    </row>
    <row r="9" spans="2:8" ht="36" customHeight="1">
      <c r="B9" s="34" t="s">
        <v>76</v>
      </c>
      <c r="C9" s="35" t="s">
        <v>77</v>
      </c>
      <c r="D9" s="36" t="s">
        <v>78</v>
      </c>
      <c r="E9" s="37">
        <v>15000000</v>
      </c>
      <c r="F9" s="38" t="b">
        <f>TRUE()</f>
        <v>1</v>
      </c>
      <c r="G9" s="39">
        <f t="shared" ref="G9:G15" si="0">IF(F9=TRUE(),E9,0)</f>
        <v>15000000</v>
      </c>
    </row>
    <row r="10" spans="2:8" ht="36" customHeight="1">
      <c r="B10" s="40" t="s">
        <v>79</v>
      </c>
      <c r="C10" s="41" t="s">
        <v>80</v>
      </c>
      <c r="D10" s="42" t="s">
        <v>81</v>
      </c>
      <c r="E10" s="43">
        <v>20000000</v>
      </c>
      <c r="F10" s="38" t="b">
        <f>TRUE()</f>
        <v>1</v>
      </c>
      <c r="G10" s="44">
        <f t="shared" si="0"/>
        <v>20000000</v>
      </c>
    </row>
    <row r="11" spans="2:8" ht="36" customHeight="1">
      <c r="B11" s="34" t="s">
        <v>82</v>
      </c>
      <c r="C11" s="35" t="s">
        <v>83</v>
      </c>
      <c r="D11" s="36" t="s">
        <v>84</v>
      </c>
      <c r="E11" s="37">
        <v>10000000</v>
      </c>
      <c r="F11" s="38" t="b">
        <f>TRUE()</f>
        <v>1</v>
      </c>
      <c r="G11" s="39">
        <f t="shared" si="0"/>
        <v>10000000</v>
      </c>
    </row>
    <row r="12" spans="2:8" ht="36" customHeight="1">
      <c r="B12" s="40" t="s">
        <v>85</v>
      </c>
      <c r="C12" s="45" t="s">
        <v>86</v>
      </c>
      <c r="D12" s="42" t="s">
        <v>87</v>
      </c>
      <c r="E12" s="43">
        <v>10000000</v>
      </c>
      <c r="F12" s="38" t="b">
        <f>FALSE()</f>
        <v>0</v>
      </c>
      <c r="G12" s="44">
        <f t="shared" si="0"/>
        <v>0</v>
      </c>
    </row>
    <row r="13" spans="2:8" ht="36" customHeight="1">
      <c r="B13" s="34" t="s">
        <v>88</v>
      </c>
      <c r="C13" s="35" t="s">
        <v>89</v>
      </c>
      <c r="D13" s="36" t="s">
        <v>90</v>
      </c>
      <c r="E13" s="37">
        <v>15000000</v>
      </c>
      <c r="F13" s="38" t="b">
        <f>FALSE()</f>
        <v>0</v>
      </c>
      <c r="G13" s="39">
        <f t="shared" si="0"/>
        <v>0</v>
      </c>
    </row>
    <row r="14" spans="2:8" ht="36" customHeight="1">
      <c r="B14" s="40" t="s">
        <v>91</v>
      </c>
      <c r="C14" s="45" t="s">
        <v>92</v>
      </c>
      <c r="D14" s="42" t="s">
        <v>93</v>
      </c>
      <c r="E14" s="43">
        <v>10000000</v>
      </c>
      <c r="F14" s="38" t="b">
        <f>TRUE()</f>
        <v>1</v>
      </c>
      <c r="G14" s="44">
        <f t="shared" si="0"/>
        <v>10000000</v>
      </c>
    </row>
    <row r="15" spans="2:8" ht="36" customHeight="1">
      <c r="B15" s="34" t="s">
        <v>94</v>
      </c>
      <c r="C15" s="35" t="s">
        <v>95</v>
      </c>
      <c r="D15" s="36" t="s">
        <v>96</v>
      </c>
      <c r="E15" s="37">
        <v>15000000</v>
      </c>
      <c r="F15" s="38" t="b">
        <f>FALSE()</f>
        <v>0</v>
      </c>
      <c r="G15" s="39">
        <f t="shared" si="0"/>
        <v>0</v>
      </c>
    </row>
    <row r="16" spans="2:8" ht="27.75" customHeight="1">
      <c r="B16" s="63" t="s">
        <v>97</v>
      </c>
      <c r="C16" s="63"/>
      <c r="D16" s="46"/>
      <c r="E16" s="46"/>
      <c r="F16" s="46"/>
      <c r="G16" s="47">
        <f>SUM(G9:G15)</f>
        <v>55000000</v>
      </c>
    </row>
    <row r="18" spans="2:7" ht="27.75" customHeight="1">
      <c r="B18" s="33" t="s">
        <v>8</v>
      </c>
      <c r="C18" s="62" t="s">
        <v>98</v>
      </c>
      <c r="D18" s="62"/>
      <c r="E18" s="62"/>
      <c r="F18" s="62"/>
      <c r="G18" s="62"/>
    </row>
    <row r="19" spans="2:7" ht="36" customHeight="1">
      <c r="B19" s="34" t="s">
        <v>99</v>
      </c>
      <c r="C19" s="35" t="s">
        <v>100</v>
      </c>
      <c r="D19" s="36" t="s">
        <v>101</v>
      </c>
      <c r="E19" s="37">
        <v>15000000</v>
      </c>
      <c r="F19" s="38" t="b">
        <f>TRUE()</f>
        <v>1</v>
      </c>
      <c r="G19" s="39">
        <f t="shared" ref="G19:G26" si="1">IF(F19=TRUE(),E19,0)</f>
        <v>15000000</v>
      </c>
    </row>
    <row r="20" spans="2:7" ht="36" customHeight="1">
      <c r="B20" s="40" t="s">
        <v>102</v>
      </c>
      <c r="C20" s="41" t="s">
        <v>103</v>
      </c>
      <c r="D20" s="42" t="s">
        <v>104</v>
      </c>
      <c r="E20" s="43">
        <v>15000000</v>
      </c>
      <c r="F20" s="38" t="b">
        <f>TRUE()</f>
        <v>1</v>
      </c>
      <c r="G20" s="44">
        <f t="shared" si="1"/>
        <v>15000000</v>
      </c>
    </row>
    <row r="21" spans="2:7" ht="36" customHeight="1">
      <c r="B21" s="34" t="s">
        <v>105</v>
      </c>
      <c r="C21" s="35" t="s">
        <v>106</v>
      </c>
      <c r="D21" s="36" t="s">
        <v>107</v>
      </c>
      <c r="E21" s="37">
        <v>20000000</v>
      </c>
      <c r="F21" s="38" t="b">
        <f>FALSE()</f>
        <v>0</v>
      </c>
      <c r="G21" s="39">
        <f t="shared" si="1"/>
        <v>0</v>
      </c>
    </row>
    <row r="22" spans="2:7" ht="36" customHeight="1">
      <c r="B22" s="40" t="s">
        <v>108</v>
      </c>
      <c r="C22" s="45" t="s">
        <v>109</v>
      </c>
      <c r="D22" s="42" t="s">
        <v>110</v>
      </c>
      <c r="E22" s="43">
        <v>20000000</v>
      </c>
      <c r="F22" s="38" t="b">
        <f>FALSE()</f>
        <v>0</v>
      </c>
      <c r="G22" s="44">
        <f t="shared" si="1"/>
        <v>0</v>
      </c>
    </row>
    <row r="23" spans="2:7" ht="36" customHeight="1">
      <c r="B23" s="34" t="s">
        <v>111</v>
      </c>
      <c r="C23" s="35" t="s">
        <v>112</v>
      </c>
      <c r="D23" s="36" t="s">
        <v>113</v>
      </c>
      <c r="E23" s="37">
        <v>15000000</v>
      </c>
      <c r="F23" s="38" t="b">
        <f>FALSE()</f>
        <v>0</v>
      </c>
      <c r="G23" s="39">
        <f t="shared" si="1"/>
        <v>0</v>
      </c>
    </row>
    <row r="24" spans="2:7" ht="36" customHeight="1">
      <c r="B24" s="40" t="s">
        <v>114</v>
      </c>
      <c r="C24" s="45" t="s">
        <v>115</v>
      </c>
      <c r="D24" s="42" t="s">
        <v>116</v>
      </c>
      <c r="E24" s="43">
        <v>10000000</v>
      </c>
      <c r="F24" s="38" t="b">
        <f>TRUE()</f>
        <v>1</v>
      </c>
      <c r="G24" s="44">
        <f t="shared" si="1"/>
        <v>10000000</v>
      </c>
    </row>
    <row r="25" spans="2:7" ht="36" customHeight="1">
      <c r="B25" s="34" t="s">
        <v>117</v>
      </c>
      <c r="C25" s="48" t="s">
        <v>118</v>
      </c>
      <c r="D25" s="36" t="s">
        <v>119</v>
      </c>
      <c r="E25" s="37">
        <v>15000000</v>
      </c>
      <c r="F25" s="38" t="b">
        <f>FALSE()</f>
        <v>0</v>
      </c>
      <c r="G25" s="39">
        <f t="shared" si="1"/>
        <v>0</v>
      </c>
    </row>
    <row r="26" spans="2:7" ht="36" customHeight="1">
      <c r="B26" s="40" t="s">
        <v>120</v>
      </c>
      <c r="C26" s="45" t="s">
        <v>121</v>
      </c>
      <c r="D26" s="49" t="s">
        <v>122</v>
      </c>
      <c r="E26" s="43">
        <v>10000000</v>
      </c>
      <c r="F26" s="38" t="b">
        <f>FALSE()</f>
        <v>0</v>
      </c>
      <c r="G26" s="44">
        <f t="shared" si="1"/>
        <v>0</v>
      </c>
    </row>
    <row r="27" spans="2:7" ht="27.75" customHeight="1">
      <c r="B27" s="63" t="s">
        <v>123</v>
      </c>
      <c r="C27" s="63"/>
      <c r="D27" s="46"/>
      <c r="E27" s="46"/>
      <c r="F27" s="46"/>
      <c r="G27" s="47">
        <f>SUM(G19:G26)</f>
        <v>40000000</v>
      </c>
    </row>
    <row r="29" spans="2:7" ht="27.75" customHeight="1">
      <c r="B29" s="33" t="s">
        <v>10</v>
      </c>
      <c r="C29" s="62" t="s">
        <v>124</v>
      </c>
      <c r="D29" s="62"/>
      <c r="E29" s="62"/>
      <c r="F29" s="62"/>
      <c r="G29" s="62"/>
    </row>
    <row r="30" spans="2:7" ht="36" customHeight="1">
      <c r="B30" s="34" t="s">
        <v>125</v>
      </c>
      <c r="C30" s="35" t="s">
        <v>126</v>
      </c>
      <c r="D30" s="36" t="s">
        <v>127</v>
      </c>
      <c r="E30" s="37">
        <v>15000000</v>
      </c>
      <c r="F30" s="38" t="b">
        <f>TRUE()</f>
        <v>1</v>
      </c>
      <c r="G30" s="39">
        <f t="shared" ref="G30:G35" si="2">IF(F30=TRUE(),E30,0)</f>
        <v>15000000</v>
      </c>
    </row>
    <row r="31" spans="2:7" ht="36" customHeight="1">
      <c r="B31" s="40" t="s">
        <v>128</v>
      </c>
      <c r="C31" s="45" t="s">
        <v>129</v>
      </c>
      <c r="D31" s="42" t="s">
        <v>130</v>
      </c>
      <c r="E31" s="43">
        <v>15000000</v>
      </c>
      <c r="F31" s="38" t="b">
        <f>TRUE()</f>
        <v>1</v>
      </c>
      <c r="G31" s="44">
        <f t="shared" si="2"/>
        <v>15000000</v>
      </c>
    </row>
    <row r="32" spans="2:7" ht="36" customHeight="1">
      <c r="B32" s="34" t="s">
        <v>131</v>
      </c>
      <c r="C32" s="35" t="s">
        <v>132</v>
      </c>
      <c r="D32" s="36" t="s">
        <v>133</v>
      </c>
      <c r="E32" s="37">
        <v>10000000</v>
      </c>
      <c r="F32" s="38" t="b">
        <f>TRUE()</f>
        <v>1</v>
      </c>
      <c r="G32" s="39">
        <f t="shared" si="2"/>
        <v>10000000</v>
      </c>
    </row>
    <row r="33" spans="2:7" ht="36" customHeight="1">
      <c r="B33" s="40" t="s">
        <v>134</v>
      </c>
      <c r="C33" s="45" t="s">
        <v>135</v>
      </c>
      <c r="D33" s="49" t="s">
        <v>136</v>
      </c>
      <c r="E33" s="43">
        <v>15000000</v>
      </c>
      <c r="F33" s="38" t="b">
        <f>FALSE()</f>
        <v>0</v>
      </c>
      <c r="G33" s="44">
        <f t="shared" si="2"/>
        <v>0</v>
      </c>
    </row>
    <row r="34" spans="2:7" ht="36" customHeight="1">
      <c r="B34" s="34" t="s">
        <v>137</v>
      </c>
      <c r="C34" s="35" t="s">
        <v>138</v>
      </c>
      <c r="D34" s="36" t="s">
        <v>139</v>
      </c>
      <c r="E34" s="37">
        <v>10000000</v>
      </c>
      <c r="F34" s="38" t="b">
        <f>FALSE()</f>
        <v>0</v>
      </c>
      <c r="G34" s="39">
        <f t="shared" si="2"/>
        <v>0</v>
      </c>
    </row>
    <row r="35" spans="2:7" ht="36" customHeight="1">
      <c r="B35" s="40" t="s">
        <v>140</v>
      </c>
      <c r="C35" s="45" t="s">
        <v>141</v>
      </c>
      <c r="D35" s="42" t="s">
        <v>142</v>
      </c>
      <c r="E35" s="43">
        <v>15000000</v>
      </c>
      <c r="F35" s="38" t="b">
        <f>FALSE()</f>
        <v>0</v>
      </c>
      <c r="G35" s="44">
        <f t="shared" si="2"/>
        <v>0</v>
      </c>
    </row>
    <row r="36" spans="2:7" ht="27.75" customHeight="1">
      <c r="B36" s="63" t="s">
        <v>143</v>
      </c>
      <c r="C36" s="63"/>
      <c r="D36" s="46"/>
      <c r="E36" s="46"/>
      <c r="F36" s="46"/>
      <c r="G36" s="47">
        <f>SUM(G30:G35)</f>
        <v>40000000</v>
      </c>
    </row>
    <row r="38" spans="2:7" ht="27.75" customHeight="1">
      <c r="B38" s="33" t="s">
        <v>12</v>
      </c>
      <c r="C38" s="62" t="s">
        <v>144</v>
      </c>
      <c r="D38" s="62"/>
      <c r="E38" s="62"/>
      <c r="F38" s="62"/>
      <c r="G38" s="62"/>
    </row>
    <row r="39" spans="2:7" ht="36" customHeight="1">
      <c r="B39" s="34" t="s">
        <v>145</v>
      </c>
      <c r="C39" s="35" t="s">
        <v>146</v>
      </c>
      <c r="D39" s="36" t="s">
        <v>147</v>
      </c>
      <c r="E39" s="37">
        <v>10000000</v>
      </c>
      <c r="F39" s="38" t="b">
        <f>TRUE()</f>
        <v>1</v>
      </c>
      <c r="G39" s="39">
        <f t="shared" ref="G39:G44" si="3">IF(F39=TRUE(),E39,0)</f>
        <v>10000000</v>
      </c>
    </row>
    <row r="40" spans="2:7" ht="36" customHeight="1">
      <c r="B40" s="40" t="s">
        <v>148</v>
      </c>
      <c r="C40" s="41" t="s">
        <v>149</v>
      </c>
      <c r="D40" s="42" t="s">
        <v>150</v>
      </c>
      <c r="E40" s="43">
        <v>10000000</v>
      </c>
      <c r="F40" s="38" t="b">
        <f>TRUE()</f>
        <v>1</v>
      </c>
      <c r="G40" s="44">
        <f t="shared" si="3"/>
        <v>10000000</v>
      </c>
    </row>
    <row r="41" spans="2:7" ht="36" customHeight="1">
      <c r="B41" s="34" t="s">
        <v>151</v>
      </c>
      <c r="C41" s="35" t="s">
        <v>152</v>
      </c>
      <c r="D41" s="36" t="s">
        <v>153</v>
      </c>
      <c r="E41" s="37">
        <v>15000000</v>
      </c>
      <c r="F41" s="38" t="b">
        <f>FALSE()</f>
        <v>0</v>
      </c>
      <c r="G41" s="39">
        <f t="shared" si="3"/>
        <v>0</v>
      </c>
    </row>
    <row r="42" spans="2:7" ht="36" customHeight="1">
      <c r="B42" s="40" t="s">
        <v>154</v>
      </c>
      <c r="C42" s="45" t="s">
        <v>155</v>
      </c>
      <c r="D42" s="42" t="s">
        <v>156</v>
      </c>
      <c r="E42" s="43">
        <v>15000000</v>
      </c>
      <c r="F42" s="38" t="b">
        <f>TRUE()</f>
        <v>1</v>
      </c>
      <c r="G42" s="44">
        <f t="shared" si="3"/>
        <v>15000000</v>
      </c>
    </row>
    <row r="43" spans="2:7" ht="36" customHeight="1">
      <c r="B43" s="34" t="s">
        <v>157</v>
      </c>
      <c r="C43" s="35" t="s">
        <v>158</v>
      </c>
      <c r="D43" s="50" t="s">
        <v>159</v>
      </c>
      <c r="E43" s="37">
        <v>15000000</v>
      </c>
      <c r="F43" s="38" t="b">
        <f>FALSE()</f>
        <v>0</v>
      </c>
      <c r="G43" s="39">
        <f t="shared" si="3"/>
        <v>0</v>
      </c>
    </row>
    <row r="44" spans="2:7" ht="36" customHeight="1">
      <c r="B44" s="40" t="s">
        <v>160</v>
      </c>
      <c r="C44" s="45" t="s">
        <v>161</v>
      </c>
      <c r="D44" s="42" t="s">
        <v>162</v>
      </c>
      <c r="E44" s="43">
        <v>10000000</v>
      </c>
      <c r="F44" s="38" t="b">
        <f>TRUE()</f>
        <v>1</v>
      </c>
      <c r="G44" s="44">
        <f t="shared" si="3"/>
        <v>10000000</v>
      </c>
    </row>
    <row r="45" spans="2:7" ht="27.75" customHeight="1">
      <c r="B45" s="63" t="s">
        <v>163</v>
      </c>
      <c r="C45" s="63"/>
      <c r="D45" s="46"/>
      <c r="E45" s="46"/>
      <c r="F45" s="46"/>
      <c r="G45" s="47">
        <f>SUM(G39:G44)</f>
        <v>45000000</v>
      </c>
    </row>
    <row r="47" spans="2:7" ht="27.75" customHeight="1">
      <c r="B47" s="33" t="s">
        <v>14</v>
      </c>
      <c r="C47" s="62" t="s">
        <v>164</v>
      </c>
      <c r="D47" s="62"/>
      <c r="E47" s="62"/>
      <c r="F47" s="62"/>
      <c r="G47" s="62"/>
    </row>
    <row r="48" spans="2:7" ht="36" customHeight="1">
      <c r="B48" s="34" t="s">
        <v>165</v>
      </c>
      <c r="C48" s="35" t="s">
        <v>166</v>
      </c>
      <c r="D48" s="50" t="s">
        <v>167</v>
      </c>
      <c r="E48" s="37">
        <v>10000000</v>
      </c>
      <c r="F48" s="38" t="b">
        <f>TRUE()</f>
        <v>1</v>
      </c>
      <c r="G48" s="39">
        <f>IF(F48=TRUE(),E48,0)</f>
        <v>10000000</v>
      </c>
    </row>
    <row r="49" spans="2:7" ht="36" customHeight="1">
      <c r="B49" s="40" t="s">
        <v>168</v>
      </c>
      <c r="C49" s="45" t="s">
        <v>169</v>
      </c>
      <c r="D49" s="42" t="s">
        <v>170</v>
      </c>
      <c r="E49" s="43">
        <v>15000000</v>
      </c>
      <c r="F49" s="38" t="b">
        <f>FALSE()</f>
        <v>0</v>
      </c>
      <c r="G49" s="44">
        <f>IF(F49=TRUE(),E49,0)</f>
        <v>0</v>
      </c>
    </row>
    <row r="50" spans="2:7" ht="36" customHeight="1">
      <c r="B50" s="34" t="s">
        <v>171</v>
      </c>
      <c r="C50" s="35" t="s">
        <v>172</v>
      </c>
      <c r="D50" s="36" t="s">
        <v>173</v>
      </c>
      <c r="E50" s="37">
        <v>15000000</v>
      </c>
      <c r="F50" s="38" t="b">
        <f>FALSE()</f>
        <v>0</v>
      </c>
      <c r="G50" s="39">
        <f>IF(F50=TRUE(),E50,0)</f>
        <v>0</v>
      </c>
    </row>
    <row r="51" spans="2:7" ht="36" customHeight="1">
      <c r="B51" s="40" t="s">
        <v>174</v>
      </c>
      <c r="C51" s="45" t="s">
        <v>175</v>
      </c>
      <c r="D51" s="42" t="s">
        <v>176</v>
      </c>
      <c r="E51" s="43">
        <v>10000000</v>
      </c>
      <c r="F51" s="38" t="b">
        <f>FALSE()</f>
        <v>0</v>
      </c>
      <c r="G51" s="44">
        <f>IF(F51=TRUE(),E51,0)</f>
        <v>0</v>
      </c>
    </row>
    <row r="52" spans="2:7" ht="36" customHeight="1">
      <c r="B52" s="34" t="s">
        <v>177</v>
      </c>
      <c r="C52" s="35" t="s">
        <v>178</v>
      </c>
      <c r="D52" s="36" t="s">
        <v>179</v>
      </c>
      <c r="E52" s="37">
        <v>10000000</v>
      </c>
      <c r="F52" s="38" t="b">
        <f>FALSE()</f>
        <v>0</v>
      </c>
      <c r="G52" s="39">
        <f>IF(F52=TRUE(),E52,0)</f>
        <v>0</v>
      </c>
    </row>
    <row r="53" spans="2:7" ht="27.75" customHeight="1">
      <c r="B53" s="63" t="s">
        <v>180</v>
      </c>
      <c r="C53" s="63"/>
      <c r="D53" s="46"/>
      <c r="E53" s="46"/>
      <c r="F53" s="46"/>
      <c r="G53" s="47">
        <f>SUM(G48:G52)</f>
        <v>10000000</v>
      </c>
    </row>
    <row r="55" spans="2:7" ht="27.75" customHeight="1">
      <c r="B55" s="33" t="s">
        <v>36</v>
      </c>
      <c r="C55" s="62" t="s">
        <v>181</v>
      </c>
      <c r="D55" s="62"/>
      <c r="E55" s="62"/>
      <c r="F55" s="62"/>
      <c r="G55" s="62"/>
    </row>
    <row r="56" spans="2:7" ht="36" customHeight="1">
      <c r="B56" s="34" t="s">
        <v>182</v>
      </c>
      <c r="C56" s="35" t="s">
        <v>183</v>
      </c>
      <c r="D56" s="36" t="s">
        <v>184</v>
      </c>
      <c r="E56" s="37">
        <v>15000000</v>
      </c>
      <c r="F56" s="38" t="b">
        <f>TRUE()</f>
        <v>1</v>
      </c>
      <c r="G56" s="39">
        <f t="shared" ref="G56:G61" si="4">IF(F56=TRUE(),E56,0)</f>
        <v>15000000</v>
      </c>
    </row>
    <row r="57" spans="2:7" ht="36" customHeight="1">
      <c r="B57" s="40" t="s">
        <v>185</v>
      </c>
      <c r="C57" s="45" t="s">
        <v>186</v>
      </c>
      <c r="D57" s="42" t="s">
        <v>187</v>
      </c>
      <c r="E57" s="43">
        <v>10000000</v>
      </c>
      <c r="F57" s="38" t="b">
        <f>FALSE()</f>
        <v>0</v>
      </c>
      <c r="G57" s="44">
        <f t="shared" si="4"/>
        <v>0</v>
      </c>
    </row>
    <row r="58" spans="2:7" ht="36" customHeight="1">
      <c r="B58" s="34" t="s">
        <v>188</v>
      </c>
      <c r="C58" s="35" t="s">
        <v>189</v>
      </c>
      <c r="D58" s="36" t="s">
        <v>190</v>
      </c>
      <c r="E58" s="37">
        <v>15000000</v>
      </c>
      <c r="F58" s="38" t="b">
        <f>TRUE()</f>
        <v>1</v>
      </c>
      <c r="G58" s="39">
        <f t="shared" si="4"/>
        <v>15000000</v>
      </c>
    </row>
    <row r="59" spans="2:7" ht="36" customHeight="1">
      <c r="B59" s="40" t="s">
        <v>191</v>
      </c>
      <c r="C59" s="45" t="s">
        <v>192</v>
      </c>
      <c r="D59" s="42" t="s">
        <v>193</v>
      </c>
      <c r="E59" s="43">
        <v>10000000</v>
      </c>
      <c r="F59" s="38" t="b">
        <f>TRUE()</f>
        <v>1</v>
      </c>
      <c r="G59" s="44">
        <f t="shared" si="4"/>
        <v>10000000</v>
      </c>
    </row>
    <row r="60" spans="2:7" ht="36" customHeight="1">
      <c r="B60" s="34" t="s">
        <v>194</v>
      </c>
      <c r="C60" s="35" t="s">
        <v>195</v>
      </c>
      <c r="D60" s="36" t="s">
        <v>196</v>
      </c>
      <c r="E60" s="37">
        <v>10000000</v>
      </c>
      <c r="F60" s="38" t="b">
        <f>FALSE()</f>
        <v>0</v>
      </c>
      <c r="G60" s="39">
        <f t="shared" si="4"/>
        <v>0</v>
      </c>
    </row>
    <row r="61" spans="2:7" ht="36" customHeight="1">
      <c r="B61" s="40" t="s">
        <v>197</v>
      </c>
      <c r="C61" s="45" t="s">
        <v>198</v>
      </c>
      <c r="D61" s="42" t="s">
        <v>199</v>
      </c>
      <c r="E61" s="43">
        <v>15000000</v>
      </c>
      <c r="F61" s="38" t="b">
        <f>FALSE()</f>
        <v>0</v>
      </c>
      <c r="G61" s="44">
        <f t="shared" si="4"/>
        <v>0</v>
      </c>
    </row>
    <row r="62" spans="2:7" ht="27.75" customHeight="1">
      <c r="B62" s="63" t="s">
        <v>200</v>
      </c>
      <c r="C62" s="63"/>
      <c r="D62" s="46"/>
      <c r="E62" s="46"/>
      <c r="F62" s="46"/>
      <c r="G62" s="47">
        <f>SUM(G56:G61)</f>
        <v>40000000</v>
      </c>
    </row>
    <row r="64" spans="2:7" ht="27.75" customHeight="1">
      <c r="B64" s="33" t="s">
        <v>40</v>
      </c>
      <c r="C64" s="62" t="s">
        <v>201</v>
      </c>
      <c r="D64" s="62"/>
      <c r="E64" s="62"/>
      <c r="F64" s="62"/>
      <c r="G64" s="62"/>
    </row>
    <row r="65" spans="2:7" ht="36" customHeight="1">
      <c r="B65" s="34" t="s">
        <v>202</v>
      </c>
      <c r="C65" s="35" t="s">
        <v>203</v>
      </c>
      <c r="D65" s="36" t="s">
        <v>204</v>
      </c>
      <c r="E65" s="37">
        <v>10000000</v>
      </c>
      <c r="F65" s="38" t="b">
        <f>FALSE()</f>
        <v>0</v>
      </c>
      <c r="G65" s="39">
        <f>IF(F65=TRUE(),E65,0)</f>
        <v>0</v>
      </c>
    </row>
    <row r="66" spans="2:7" ht="36" customHeight="1">
      <c r="B66" s="40" t="s">
        <v>205</v>
      </c>
      <c r="C66" s="45" t="s">
        <v>206</v>
      </c>
      <c r="D66" s="42" t="s">
        <v>207</v>
      </c>
      <c r="E66" s="43">
        <v>15000000</v>
      </c>
      <c r="F66" s="38" t="b">
        <f>FALSE()</f>
        <v>0</v>
      </c>
      <c r="G66" s="44">
        <f>IF(F66=TRUE(),E66,0)</f>
        <v>0</v>
      </c>
    </row>
    <row r="67" spans="2:7" ht="36" customHeight="1">
      <c r="B67" s="34" t="s">
        <v>208</v>
      </c>
      <c r="C67" s="35" t="s">
        <v>209</v>
      </c>
      <c r="D67" s="36" t="s">
        <v>210</v>
      </c>
      <c r="E67" s="37">
        <v>15000000</v>
      </c>
      <c r="F67" s="38" t="b">
        <f>FALSE()</f>
        <v>0</v>
      </c>
      <c r="G67" s="39">
        <f>IF(F67=TRUE(),E67,0)</f>
        <v>0</v>
      </c>
    </row>
    <row r="68" spans="2:7" ht="36" customHeight="1">
      <c r="B68" s="40" t="s">
        <v>211</v>
      </c>
      <c r="C68" s="45" t="s">
        <v>212</v>
      </c>
      <c r="D68" s="42" t="s">
        <v>213</v>
      </c>
      <c r="E68" s="43">
        <v>10000000</v>
      </c>
      <c r="F68" s="38" t="b">
        <f>TRUE()</f>
        <v>1</v>
      </c>
      <c r="G68" s="44">
        <f>IF(F68=TRUE(),E68,0)</f>
        <v>10000000</v>
      </c>
    </row>
    <row r="69" spans="2:7" ht="36" customHeight="1">
      <c r="B69" s="34" t="s">
        <v>214</v>
      </c>
      <c r="C69" s="35" t="s">
        <v>215</v>
      </c>
      <c r="D69" s="50" t="s">
        <v>216</v>
      </c>
      <c r="E69" s="37">
        <v>10000000</v>
      </c>
      <c r="F69" s="38" t="b">
        <f>FALSE()</f>
        <v>0</v>
      </c>
      <c r="G69" s="39">
        <f>IF(F69=TRUE(),E69,0)</f>
        <v>0</v>
      </c>
    </row>
    <row r="70" spans="2:7" ht="27.75" customHeight="1">
      <c r="B70" s="63" t="s">
        <v>217</v>
      </c>
      <c r="C70" s="63"/>
      <c r="D70" s="46"/>
      <c r="E70" s="46"/>
      <c r="F70" s="46"/>
      <c r="G70" s="47">
        <f>SUM(G65:G69)</f>
        <v>10000000</v>
      </c>
    </row>
    <row r="72" spans="2:7" ht="27.75" customHeight="1">
      <c r="B72" s="33" t="s">
        <v>44</v>
      </c>
      <c r="C72" s="62" t="s">
        <v>218</v>
      </c>
      <c r="D72" s="62"/>
      <c r="E72" s="62"/>
      <c r="F72" s="62"/>
      <c r="G72" s="62"/>
    </row>
    <row r="73" spans="2:7" ht="36" customHeight="1">
      <c r="B73" s="34" t="s">
        <v>219</v>
      </c>
      <c r="C73" s="35" t="s">
        <v>220</v>
      </c>
      <c r="D73" s="36" t="s">
        <v>221</v>
      </c>
      <c r="E73" s="37">
        <v>10000000</v>
      </c>
      <c r="F73" s="38" t="b">
        <f>TRUE()</f>
        <v>1</v>
      </c>
      <c r="G73" s="39">
        <f>IF(F73=TRUE(),E73,0)</f>
        <v>10000000</v>
      </c>
    </row>
    <row r="74" spans="2:7" ht="36" customHeight="1">
      <c r="B74" s="40" t="s">
        <v>222</v>
      </c>
      <c r="C74" s="45" t="s">
        <v>223</v>
      </c>
      <c r="D74" s="42" t="s">
        <v>224</v>
      </c>
      <c r="E74" s="43">
        <v>10000000</v>
      </c>
      <c r="F74" s="38" t="b">
        <f>FALSE()</f>
        <v>0</v>
      </c>
      <c r="G74" s="44">
        <f>IF(F74=TRUE(),E74,0)</f>
        <v>0</v>
      </c>
    </row>
    <row r="75" spans="2:7" ht="36" customHeight="1">
      <c r="B75" s="34" t="s">
        <v>225</v>
      </c>
      <c r="C75" s="35" t="s">
        <v>226</v>
      </c>
      <c r="D75" s="36" t="s">
        <v>227</v>
      </c>
      <c r="E75" s="37">
        <v>10000000</v>
      </c>
      <c r="F75" s="38" t="b">
        <f>FALSE()</f>
        <v>0</v>
      </c>
      <c r="G75" s="39">
        <f>IF(F75=TRUE(),E75,0)</f>
        <v>0</v>
      </c>
    </row>
    <row r="76" spans="2:7" ht="36" customHeight="1">
      <c r="B76" s="40" t="s">
        <v>228</v>
      </c>
      <c r="C76" s="45" t="s">
        <v>229</v>
      </c>
      <c r="D76" s="42" t="s">
        <v>230</v>
      </c>
      <c r="E76" s="43">
        <v>10000000</v>
      </c>
      <c r="F76" s="38" t="b">
        <f>FALSE()</f>
        <v>0</v>
      </c>
      <c r="G76" s="44">
        <f>IF(F76=TRUE(),E76,0)</f>
        <v>0</v>
      </c>
    </row>
    <row r="77" spans="2:7" ht="36" customHeight="1">
      <c r="B77" s="34" t="s">
        <v>231</v>
      </c>
      <c r="C77" s="35" t="s">
        <v>232</v>
      </c>
      <c r="D77" s="36" t="s">
        <v>233</v>
      </c>
      <c r="E77" s="37">
        <v>15000000</v>
      </c>
      <c r="F77" s="38" t="b">
        <f>FALSE()</f>
        <v>0</v>
      </c>
      <c r="G77" s="39">
        <f>IF(F77=TRUE(),E77,0)</f>
        <v>0</v>
      </c>
    </row>
    <row r="78" spans="2:7" ht="27.75" customHeight="1">
      <c r="B78" s="63" t="s">
        <v>234</v>
      </c>
      <c r="C78" s="63"/>
      <c r="D78" s="46"/>
      <c r="E78" s="46"/>
      <c r="F78" s="46"/>
      <c r="G78" s="47">
        <f>SUM(G73:G77)</f>
        <v>10000000</v>
      </c>
    </row>
    <row r="80" spans="2:7" ht="27.75" customHeight="1">
      <c r="B80" s="33" t="s">
        <v>48</v>
      </c>
      <c r="C80" s="62" t="s">
        <v>235</v>
      </c>
      <c r="D80" s="62"/>
      <c r="E80" s="62"/>
      <c r="F80" s="62"/>
      <c r="G80" s="62"/>
    </row>
    <row r="81" spans="2:7" ht="36" customHeight="1">
      <c r="B81" s="34" t="s">
        <v>236</v>
      </c>
      <c r="C81" s="35" t="s">
        <v>237</v>
      </c>
      <c r="D81" s="36" t="s">
        <v>238</v>
      </c>
      <c r="E81" s="37">
        <v>10000000</v>
      </c>
      <c r="F81" s="38" t="b">
        <f>TRUE()</f>
        <v>1</v>
      </c>
      <c r="G81" s="39">
        <f t="shared" ref="G81:G86" si="5">IF(F81=TRUE(),E81,0)</f>
        <v>10000000</v>
      </c>
    </row>
    <row r="82" spans="2:7" ht="36" customHeight="1">
      <c r="B82" s="40" t="s">
        <v>239</v>
      </c>
      <c r="C82" s="45" t="s">
        <v>240</v>
      </c>
      <c r="D82" s="42" t="s">
        <v>241</v>
      </c>
      <c r="E82" s="43">
        <v>10000000</v>
      </c>
      <c r="F82" s="38" t="b">
        <f>FALSE()</f>
        <v>0</v>
      </c>
      <c r="G82" s="44">
        <f t="shared" si="5"/>
        <v>0</v>
      </c>
    </row>
    <row r="83" spans="2:7" ht="36" customHeight="1">
      <c r="B83" s="34" t="s">
        <v>242</v>
      </c>
      <c r="C83" s="35" t="s">
        <v>243</v>
      </c>
      <c r="D83" s="36" t="s">
        <v>244</v>
      </c>
      <c r="E83" s="37">
        <v>10000000</v>
      </c>
      <c r="F83" s="38" t="b">
        <f>FALSE()</f>
        <v>0</v>
      </c>
      <c r="G83" s="39">
        <f t="shared" si="5"/>
        <v>0</v>
      </c>
    </row>
    <row r="84" spans="2:7" ht="36" customHeight="1">
      <c r="B84" s="40" t="s">
        <v>245</v>
      </c>
      <c r="C84" s="45" t="s">
        <v>246</v>
      </c>
      <c r="D84" s="42" t="s">
        <v>247</v>
      </c>
      <c r="E84" s="43">
        <v>10000000</v>
      </c>
      <c r="F84" s="38" t="b">
        <f>TRUE()</f>
        <v>1</v>
      </c>
      <c r="G84" s="44">
        <f t="shared" si="5"/>
        <v>10000000</v>
      </c>
    </row>
    <row r="85" spans="2:7" ht="36" customHeight="1">
      <c r="B85" s="34" t="s">
        <v>248</v>
      </c>
      <c r="C85" s="35" t="s">
        <v>249</v>
      </c>
      <c r="D85" s="36" t="s">
        <v>250</v>
      </c>
      <c r="E85" s="37">
        <v>10000000</v>
      </c>
      <c r="F85" s="38" t="b">
        <f>FALSE()</f>
        <v>0</v>
      </c>
      <c r="G85" s="39">
        <f t="shared" si="5"/>
        <v>0</v>
      </c>
    </row>
    <row r="86" spans="2:7" ht="36" customHeight="1">
      <c r="B86" s="40" t="s">
        <v>251</v>
      </c>
      <c r="C86" s="45" t="s">
        <v>252</v>
      </c>
      <c r="D86" s="42" t="s">
        <v>253</v>
      </c>
      <c r="E86" s="43">
        <v>10000000</v>
      </c>
      <c r="F86" s="38" t="b">
        <f>FALSE()</f>
        <v>0</v>
      </c>
      <c r="G86" s="44">
        <f t="shared" si="5"/>
        <v>0</v>
      </c>
    </row>
    <row r="87" spans="2:7" ht="27.75" customHeight="1">
      <c r="B87" s="63" t="s">
        <v>254</v>
      </c>
      <c r="C87" s="63"/>
      <c r="D87" s="46"/>
      <c r="E87" s="46"/>
      <c r="F87" s="46"/>
      <c r="G87" s="47">
        <f>SUM(G81:G86)</f>
        <v>20000000</v>
      </c>
    </row>
    <row r="89" spans="2:7" ht="27.75" customHeight="1">
      <c r="B89" s="33" t="s">
        <v>52</v>
      </c>
      <c r="C89" s="62" t="s">
        <v>255</v>
      </c>
      <c r="D89" s="62"/>
      <c r="E89" s="62"/>
      <c r="F89" s="62"/>
      <c r="G89" s="62"/>
    </row>
    <row r="90" spans="2:7" ht="36" customHeight="1">
      <c r="B90" s="34" t="s">
        <v>256</v>
      </c>
      <c r="C90" s="35" t="s">
        <v>257</v>
      </c>
      <c r="D90" s="36" t="s">
        <v>258</v>
      </c>
      <c r="E90" s="37">
        <v>15000000</v>
      </c>
      <c r="F90" s="38" t="b">
        <f>FALSE()</f>
        <v>0</v>
      </c>
      <c r="G90" s="39">
        <f>IF(F90=TRUE(),E90,0)</f>
        <v>0</v>
      </c>
    </row>
    <row r="91" spans="2:7" ht="36" customHeight="1">
      <c r="B91" s="40" t="s">
        <v>259</v>
      </c>
      <c r="C91" s="45" t="s">
        <v>260</v>
      </c>
      <c r="D91" s="42" t="s">
        <v>261</v>
      </c>
      <c r="E91" s="43">
        <v>15000000</v>
      </c>
      <c r="F91" s="38" t="b">
        <f>FALSE()</f>
        <v>0</v>
      </c>
      <c r="G91" s="44">
        <f>IF(F91=TRUE(),E91,0)</f>
        <v>0</v>
      </c>
    </row>
    <row r="92" spans="2:7" ht="36" customHeight="1">
      <c r="B92" s="34" t="s">
        <v>262</v>
      </c>
      <c r="C92" s="35" t="s">
        <v>263</v>
      </c>
      <c r="D92" s="36" t="s">
        <v>264</v>
      </c>
      <c r="E92" s="37">
        <v>10000000</v>
      </c>
      <c r="F92" s="38" t="b">
        <f>TRUE()</f>
        <v>1</v>
      </c>
      <c r="G92" s="39">
        <f>IF(F92=TRUE(),E92,0)</f>
        <v>10000000</v>
      </c>
    </row>
    <row r="93" spans="2:7" ht="36" customHeight="1">
      <c r="B93" s="40" t="s">
        <v>265</v>
      </c>
      <c r="C93" s="45" t="s">
        <v>266</v>
      </c>
      <c r="D93" s="42" t="s">
        <v>267</v>
      </c>
      <c r="E93" s="43">
        <v>15000000</v>
      </c>
      <c r="F93" s="38" t="b">
        <f>FALSE()</f>
        <v>0</v>
      </c>
      <c r="G93" s="44">
        <f>IF(F93=TRUE(),E93,0)</f>
        <v>0</v>
      </c>
    </row>
    <row r="94" spans="2:7" ht="36" customHeight="1">
      <c r="B94" s="34" t="s">
        <v>268</v>
      </c>
      <c r="C94" s="48" t="s">
        <v>269</v>
      </c>
      <c r="D94" s="36" t="s">
        <v>270</v>
      </c>
      <c r="E94" s="37">
        <v>10000000</v>
      </c>
      <c r="F94" s="38" t="b">
        <f>FALSE()</f>
        <v>0</v>
      </c>
      <c r="G94" s="39">
        <f>IF(F94=TRUE(),E94,0)</f>
        <v>0</v>
      </c>
    </row>
    <row r="95" spans="2:7" ht="27.75" customHeight="1">
      <c r="B95" s="63" t="s">
        <v>271</v>
      </c>
      <c r="C95" s="63"/>
      <c r="D95" s="46"/>
      <c r="E95" s="46"/>
      <c r="F95" s="46"/>
      <c r="G95" s="47">
        <f>SUM(G90:G94)</f>
        <v>10000000</v>
      </c>
    </row>
    <row r="98" spans="2:7" ht="37.5" customHeight="1">
      <c r="B98" s="64" t="s">
        <v>272</v>
      </c>
      <c r="C98" s="64"/>
      <c r="D98" s="64"/>
      <c r="E98" s="64"/>
      <c r="F98" s="64"/>
      <c r="G98" s="51">
        <f>G16+G27+G36+G45+G53+G62+G70+G78+G87+G95</f>
        <v>280000000</v>
      </c>
    </row>
  </sheetData>
  <mergeCells count="23">
    <mergeCell ref="C89:G89"/>
    <mergeCell ref="B95:C95"/>
    <mergeCell ref="B98:F98"/>
    <mergeCell ref="B70:C70"/>
    <mergeCell ref="C72:G72"/>
    <mergeCell ref="B78:C78"/>
    <mergeCell ref="C80:G80"/>
    <mergeCell ref="B87:C87"/>
    <mergeCell ref="C47:G47"/>
    <mergeCell ref="B53:C53"/>
    <mergeCell ref="C55:G55"/>
    <mergeCell ref="B62:C62"/>
    <mergeCell ref="C64:G64"/>
    <mergeCell ref="B27:C27"/>
    <mergeCell ref="C29:G29"/>
    <mergeCell ref="B36:C36"/>
    <mergeCell ref="C38:G38"/>
    <mergeCell ref="B45:C45"/>
    <mergeCell ref="B4:H4"/>
    <mergeCell ref="B5:H5"/>
    <mergeCell ref="C8:G8"/>
    <mergeCell ref="B16:C16"/>
    <mergeCell ref="C18:G18"/>
  </mergeCells>
  <phoneticPr fontId="45" type="noConversion"/>
  <dataValidations count="1">
    <dataValidation type="list" errorTitle="잘못된 입력" error="TRUE 또는 FALSE만 입력 가능합니다" sqref="F9:F15 F19:F26 F30:F35 F39:F44 F48:F52 F56:F61 F65:F69 F73:F77 F81:F86 F90:F94" xr:uid="{00000000-0002-0000-0100-000000000000}">
      <formula1>"TRUE,FALSE"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98"/>
  <sheetViews>
    <sheetView tabSelected="1" zoomScaleNormal="100" workbookViewId="0">
      <pane ySplit="7" topLeftCell="A91" activePane="bottomLeft" state="frozen"/>
      <selection pane="bottomLeft" activeCell="F91" sqref="F91"/>
    </sheetView>
  </sheetViews>
  <sheetFormatPr baseColWidth="10" defaultColWidth="8.6640625" defaultRowHeight="15"/>
  <cols>
    <col min="1" max="1" width="2" customWidth="1"/>
    <col min="2" max="2" width="9" customWidth="1"/>
    <col min="3" max="3" width="38" customWidth="1"/>
    <col min="4" max="4" width="60" customWidth="1"/>
    <col min="5" max="5" width="16" customWidth="1"/>
    <col min="6" max="6" width="11" customWidth="1"/>
    <col min="7" max="7" width="18" customWidth="1"/>
  </cols>
  <sheetData>
    <row r="2" spans="2:8" ht="3.75" customHeight="1">
      <c r="B2" s="15"/>
      <c r="C2" s="15"/>
      <c r="D2" s="15"/>
      <c r="E2" s="15"/>
      <c r="F2" s="15"/>
      <c r="G2" s="15"/>
      <c r="H2" s="15"/>
    </row>
    <row r="4" spans="2:8" ht="31.5" customHeight="1">
      <c r="B4" s="1" t="s">
        <v>273</v>
      </c>
      <c r="C4" s="1"/>
      <c r="D4" s="1"/>
      <c r="E4" s="1"/>
      <c r="F4" s="1"/>
      <c r="G4" s="1"/>
      <c r="H4" s="1"/>
    </row>
    <row r="5" spans="2:8" ht="19.5" customHeight="1">
      <c r="B5" s="12" t="s">
        <v>274</v>
      </c>
      <c r="C5" s="12"/>
      <c r="D5" s="12"/>
      <c r="E5" s="12"/>
      <c r="F5" s="12"/>
      <c r="G5" s="12"/>
      <c r="H5" s="12"/>
    </row>
    <row r="7" spans="2:8" ht="30" customHeight="1">
      <c r="B7" s="32" t="s">
        <v>69</v>
      </c>
      <c r="C7" s="32" t="s">
        <v>70</v>
      </c>
      <c r="D7" s="32" t="s">
        <v>71</v>
      </c>
      <c r="E7" s="32" t="s">
        <v>72</v>
      </c>
      <c r="F7" s="32" t="s">
        <v>73</v>
      </c>
      <c r="G7" s="32" t="s">
        <v>74</v>
      </c>
    </row>
    <row r="8" spans="2:8" ht="27.75" customHeight="1">
      <c r="B8" s="33" t="s">
        <v>6</v>
      </c>
      <c r="C8" s="62" t="s">
        <v>75</v>
      </c>
      <c r="D8" s="62"/>
      <c r="E8" s="62"/>
      <c r="F8" s="62"/>
      <c r="G8" s="62"/>
    </row>
    <row r="9" spans="2:8" ht="36" customHeight="1">
      <c r="B9" s="34" t="s">
        <v>76</v>
      </c>
      <c r="C9" s="35" t="s">
        <v>77</v>
      </c>
      <c r="D9" s="36" t="s">
        <v>78</v>
      </c>
      <c r="E9" s="37">
        <v>25500000</v>
      </c>
      <c r="F9" s="38" t="b">
        <f>TRUE()</f>
        <v>1</v>
      </c>
      <c r="G9" s="39">
        <f t="shared" ref="G9:G15" si="0">IF(F9=TRUE(),E9,0)</f>
        <v>25500000</v>
      </c>
    </row>
    <row r="10" spans="2:8" ht="36" customHeight="1">
      <c r="B10" s="40" t="s">
        <v>79</v>
      </c>
      <c r="C10" s="41" t="s">
        <v>80</v>
      </c>
      <c r="D10" s="42" t="s">
        <v>81</v>
      </c>
      <c r="E10" s="43">
        <v>34000000</v>
      </c>
      <c r="F10" s="38" t="b">
        <f>TRUE()</f>
        <v>1</v>
      </c>
      <c r="G10" s="44">
        <f t="shared" si="0"/>
        <v>34000000</v>
      </c>
    </row>
    <row r="11" spans="2:8" ht="36" customHeight="1">
      <c r="B11" s="34" t="s">
        <v>82</v>
      </c>
      <c r="C11" s="35" t="s">
        <v>83</v>
      </c>
      <c r="D11" s="36" t="s">
        <v>84</v>
      </c>
      <c r="E11" s="37">
        <v>17000000</v>
      </c>
      <c r="F11" s="38" t="b">
        <f>TRUE()</f>
        <v>1</v>
      </c>
      <c r="G11" s="39">
        <f t="shared" si="0"/>
        <v>17000000</v>
      </c>
    </row>
    <row r="12" spans="2:8" ht="36" customHeight="1">
      <c r="B12" s="40" t="s">
        <v>85</v>
      </c>
      <c r="C12" s="45" t="s">
        <v>86</v>
      </c>
      <c r="D12" s="42" t="s">
        <v>87</v>
      </c>
      <c r="E12" s="43">
        <v>17000000</v>
      </c>
      <c r="F12" s="38" t="b">
        <f>FALSE()</f>
        <v>0</v>
      </c>
      <c r="G12" s="44">
        <f t="shared" si="0"/>
        <v>0</v>
      </c>
    </row>
    <row r="13" spans="2:8" ht="36" customHeight="1">
      <c r="B13" s="34" t="s">
        <v>88</v>
      </c>
      <c r="C13" s="35" t="s">
        <v>89</v>
      </c>
      <c r="D13" s="36" t="s">
        <v>90</v>
      </c>
      <c r="E13" s="37">
        <v>25500000</v>
      </c>
      <c r="F13" s="38" t="b">
        <f>FALSE()</f>
        <v>0</v>
      </c>
      <c r="G13" s="39">
        <f t="shared" si="0"/>
        <v>0</v>
      </c>
    </row>
    <row r="14" spans="2:8" ht="36" customHeight="1">
      <c r="B14" s="40" t="s">
        <v>91</v>
      </c>
      <c r="C14" s="45" t="s">
        <v>92</v>
      </c>
      <c r="D14" s="42" t="s">
        <v>93</v>
      </c>
      <c r="E14" s="43">
        <v>17000000</v>
      </c>
      <c r="F14" s="38" t="b">
        <f>TRUE()</f>
        <v>1</v>
      </c>
      <c r="G14" s="44">
        <f t="shared" si="0"/>
        <v>17000000</v>
      </c>
    </row>
    <row r="15" spans="2:8" ht="36" customHeight="1">
      <c r="B15" s="34" t="s">
        <v>94</v>
      </c>
      <c r="C15" s="35" t="s">
        <v>95</v>
      </c>
      <c r="D15" s="36" t="s">
        <v>96</v>
      </c>
      <c r="E15" s="37">
        <v>25500000</v>
      </c>
      <c r="F15" s="38" t="b">
        <f>FALSE()</f>
        <v>0</v>
      </c>
      <c r="G15" s="39">
        <f t="shared" si="0"/>
        <v>0</v>
      </c>
    </row>
    <row r="16" spans="2:8" ht="27.75" customHeight="1">
      <c r="B16" s="63" t="s">
        <v>97</v>
      </c>
      <c r="C16" s="63"/>
      <c r="D16" s="46"/>
      <c r="E16" s="46"/>
      <c r="F16" s="46"/>
      <c r="G16" s="47">
        <f>SUM(G9:G15)</f>
        <v>93500000</v>
      </c>
    </row>
    <row r="18" spans="2:7" ht="27.75" customHeight="1">
      <c r="B18" s="33" t="s">
        <v>8</v>
      </c>
      <c r="C18" s="62" t="s">
        <v>98</v>
      </c>
      <c r="D18" s="62"/>
      <c r="E18" s="62"/>
      <c r="F18" s="62"/>
      <c r="G18" s="62"/>
    </row>
    <row r="19" spans="2:7" ht="36" customHeight="1">
      <c r="B19" s="34" t="s">
        <v>99</v>
      </c>
      <c r="C19" s="35" t="s">
        <v>100</v>
      </c>
      <c r="D19" s="36" t="s">
        <v>101</v>
      </c>
      <c r="E19" s="37">
        <v>25500000</v>
      </c>
      <c r="F19" s="38" t="b">
        <f>TRUE()</f>
        <v>1</v>
      </c>
      <c r="G19" s="39">
        <f t="shared" ref="G19:G26" si="1">IF(F19=TRUE(),E19,0)</f>
        <v>25500000</v>
      </c>
    </row>
    <row r="20" spans="2:7" ht="36" customHeight="1">
      <c r="B20" s="40" t="s">
        <v>102</v>
      </c>
      <c r="C20" s="41" t="s">
        <v>103</v>
      </c>
      <c r="D20" s="42" t="s">
        <v>104</v>
      </c>
      <c r="E20" s="43">
        <v>25500000</v>
      </c>
      <c r="F20" s="38" t="b">
        <f>TRUE()</f>
        <v>1</v>
      </c>
      <c r="G20" s="44">
        <f t="shared" si="1"/>
        <v>25500000</v>
      </c>
    </row>
    <row r="21" spans="2:7" ht="36" customHeight="1">
      <c r="B21" s="34" t="s">
        <v>105</v>
      </c>
      <c r="C21" s="35" t="s">
        <v>106</v>
      </c>
      <c r="D21" s="36" t="s">
        <v>107</v>
      </c>
      <c r="E21" s="37">
        <v>34000000</v>
      </c>
      <c r="F21" s="38" t="b">
        <f>FALSE()</f>
        <v>0</v>
      </c>
      <c r="G21" s="39">
        <f t="shared" si="1"/>
        <v>0</v>
      </c>
    </row>
    <row r="22" spans="2:7" ht="36" customHeight="1">
      <c r="B22" s="40" t="s">
        <v>108</v>
      </c>
      <c r="C22" s="45" t="s">
        <v>109</v>
      </c>
      <c r="D22" s="42" t="s">
        <v>110</v>
      </c>
      <c r="E22" s="43">
        <v>34000000</v>
      </c>
      <c r="F22" s="38" t="b">
        <f>FALSE()</f>
        <v>0</v>
      </c>
      <c r="G22" s="44">
        <f t="shared" si="1"/>
        <v>0</v>
      </c>
    </row>
    <row r="23" spans="2:7" ht="36" customHeight="1">
      <c r="B23" s="34" t="s">
        <v>111</v>
      </c>
      <c r="C23" s="35" t="s">
        <v>112</v>
      </c>
      <c r="D23" s="36" t="s">
        <v>113</v>
      </c>
      <c r="E23" s="37">
        <v>25500000</v>
      </c>
      <c r="F23" s="38" t="b">
        <f>FALSE()</f>
        <v>0</v>
      </c>
      <c r="G23" s="39">
        <f t="shared" si="1"/>
        <v>0</v>
      </c>
    </row>
    <row r="24" spans="2:7" ht="36" customHeight="1">
      <c r="B24" s="40" t="s">
        <v>114</v>
      </c>
      <c r="C24" s="45" t="s">
        <v>115</v>
      </c>
      <c r="D24" s="42" t="s">
        <v>116</v>
      </c>
      <c r="E24" s="43">
        <v>17000000</v>
      </c>
      <c r="F24" s="38" t="b">
        <f>TRUE()</f>
        <v>1</v>
      </c>
      <c r="G24" s="44">
        <f t="shared" si="1"/>
        <v>17000000</v>
      </c>
    </row>
    <row r="25" spans="2:7" ht="36" customHeight="1">
      <c r="B25" s="34" t="s">
        <v>117</v>
      </c>
      <c r="C25" s="48" t="s">
        <v>118</v>
      </c>
      <c r="D25" s="36" t="s">
        <v>119</v>
      </c>
      <c r="E25" s="37">
        <v>25500000</v>
      </c>
      <c r="F25" s="38" t="b">
        <f>FALSE()</f>
        <v>0</v>
      </c>
      <c r="G25" s="39">
        <f t="shared" si="1"/>
        <v>0</v>
      </c>
    </row>
    <row r="26" spans="2:7" ht="36" customHeight="1">
      <c r="B26" s="40" t="s">
        <v>120</v>
      </c>
      <c r="C26" s="45" t="s">
        <v>121</v>
      </c>
      <c r="D26" s="49" t="s">
        <v>122</v>
      </c>
      <c r="E26" s="43">
        <v>17000000</v>
      </c>
      <c r="F26" s="38" t="b">
        <f>FALSE()</f>
        <v>0</v>
      </c>
      <c r="G26" s="44">
        <f t="shared" si="1"/>
        <v>0</v>
      </c>
    </row>
    <row r="27" spans="2:7" ht="27.75" customHeight="1">
      <c r="B27" s="63" t="s">
        <v>123</v>
      </c>
      <c r="C27" s="63"/>
      <c r="D27" s="46"/>
      <c r="E27" s="46"/>
      <c r="F27" s="46"/>
      <c r="G27" s="47">
        <f>SUM(G19:G26)</f>
        <v>68000000</v>
      </c>
    </row>
    <row r="29" spans="2:7" ht="27.75" customHeight="1">
      <c r="B29" s="33" t="s">
        <v>10</v>
      </c>
      <c r="C29" s="62" t="s">
        <v>124</v>
      </c>
      <c r="D29" s="62"/>
      <c r="E29" s="62"/>
      <c r="F29" s="62"/>
      <c r="G29" s="62"/>
    </row>
    <row r="30" spans="2:7" ht="36" customHeight="1">
      <c r="B30" s="34" t="s">
        <v>125</v>
      </c>
      <c r="C30" s="35" t="s">
        <v>126</v>
      </c>
      <c r="D30" s="36" t="s">
        <v>127</v>
      </c>
      <c r="E30" s="37">
        <v>25500000</v>
      </c>
      <c r="F30" s="38" t="b">
        <f>TRUE()</f>
        <v>1</v>
      </c>
      <c r="G30" s="39">
        <f t="shared" ref="G30:G35" si="2">IF(F30=TRUE(),E30,0)</f>
        <v>25500000</v>
      </c>
    </row>
    <row r="31" spans="2:7" ht="36" customHeight="1">
      <c r="B31" s="40" t="s">
        <v>128</v>
      </c>
      <c r="C31" s="45" t="s">
        <v>129</v>
      </c>
      <c r="D31" s="42" t="s">
        <v>130</v>
      </c>
      <c r="E31" s="43">
        <v>25500000</v>
      </c>
      <c r="F31" s="38" t="b">
        <f>TRUE()</f>
        <v>1</v>
      </c>
      <c r="G31" s="44">
        <f t="shared" si="2"/>
        <v>25500000</v>
      </c>
    </row>
    <row r="32" spans="2:7" ht="36" customHeight="1">
      <c r="B32" s="34" t="s">
        <v>131</v>
      </c>
      <c r="C32" s="35" t="s">
        <v>132</v>
      </c>
      <c r="D32" s="36" t="s">
        <v>133</v>
      </c>
      <c r="E32" s="37">
        <v>17000000</v>
      </c>
      <c r="F32" s="38" t="b">
        <f>TRUE()</f>
        <v>1</v>
      </c>
      <c r="G32" s="39">
        <f t="shared" si="2"/>
        <v>17000000</v>
      </c>
    </row>
    <row r="33" spans="2:7" ht="36" customHeight="1">
      <c r="B33" s="40" t="s">
        <v>134</v>
      </c>
      <c r="C33" s="45" t="s">
        <v>135</v>
      </c>
      <c r="D33" s="49" t="s">
        <v>136</v>
      </c>
      <c r="E33" s="43">
        <v>25500000</v>
      </c>
      <c r="F33" s="38" t="b">
        <f>FALSE()</f>
        <v>0</v>
      </c>
      <c r="G33" s="44">
        <f t="shared" si="2"/>
        <v>0</v>
      </c>
    </row>
    <row r="34" spans="2:7" ht="36" customHeight="1">
      <c r="B34" s="34" t="s">
        <v>137</v>
      </c>
      <c r="C34" s="35" t="s">
        <v>138</v>
      </c>
      <c r="D34" s="36" t="s">
        <v>139</v>
      </c>
      <c r="E34" s="37">
        <v>17000000</v>
      </c>
      <c r="F34" s="38" t="b">
        <f>FALSE()</f>
        <v>0</v>
      </c>
      <c r="G34" s="39">
        <f t="shared" si="2"/>
        <v>0</v>
      </c>
    </row>
    <row r="35" spans="2:7" ht="36" customHeight="1">
      <c r="B35" s="40" t="s">
        <v>140</v>
      </c>
      <c r="C35" s="45" t="s">
        <v>141</v>
      </c>
      <c r="D35" s="42" t="s">
        <v>142</v>
      </c>
      <c r="E35" s="43">
        <v>25500000</v>
      </c>
      <c r="F35" s="38" t="b">
        <f>FALSE()</f>
        <v>0</v>
      </c>
      <c r="G35" s="44">
        <f t="shared" si="2"/>
        <v>0</v>
      </c>
    </row>
    <row r="36" spans="2:7" ht="27.75" customHeight="1">
      <c r="B36" s="63" t="s">
        <v>143</v>
      </c>
      <c r="C36" s="63"/>
      <c r="D36" s="46"/>
      <c r="E36" s="46"/>
      <c r="F36" s="46"/>
      <c r="G36" s="47">
        <f>SUM(G30:G35)</f>
        <v>68000000</v>
      </c>
    </row>
    <row r="38" spans="2:7" ht="27.75" customHeight="1">
      <c r="B38" s="33" t="s">
        <v>12</v>
      </c>
      <c r="C38" s="62" t="s">
        <v>144</v>
      </c>
      <c r="D38" s="62"/>
      <c r="E38" s="62"/>
      <c r="F38" s="62"/>
      <c r="G38" s="62"/>
    </row>
    <row r="39" spans="2:7" ht="36" customHeight="1">
      <c r="B39" s="34" t="s">
        <v>145</v>
      </c>
      <c r="C39" s="35" t="s">
        <v>146</v>
      </c>
      <c r="D39" s="36" t="s">
        <v>147</v>
      </c>
      <c r="E39" s="37">
        <v>17000000</v>
      </c>
      <c r="F39" s="38" t="b">
        <f>TRUE()</f>
        <v>1</v>
      </c>
      <c r="G39" s="39">
        <f t="shared" ref="G39:G44" si="3">IF(F39=TRUE(),E39,0)</f>
        <v>17000000</v>
      </c>
    </row>
    <row r="40" spans="2:7" ht="36" customHeight="1">
      <c r="B40" s="40" t="s">
        <v>148</v>
      </c>
      <c r="C40" s="41" t="s">
        <v>149</v>
      </c>
      <c r="D40" s="42" t="s">
        <v>150</v>
      </c>
      <c r="E40" s="43">
        <v>17000000</v>
      </c>
      <c r="F40" s="38" t="b">
        <f>TRUE()</f>
        <v>1</v>
      </c>
      <c r="G40" s="44">
        <f t="shared" si="3"/>
        <v>17000000</v>
      </c>
    </row>
    <row r="41" spans="2:7" ht="36" customHeight="1">
      <c r="B41" s="34" t="s">
        <v>151</v>
      </c>
      <c r="C41" s="35" t="s">
        <v>152</v>
      </c>
      <c r="D41" s="36" t="s">
        <v>153</v>
      </c>
      <c r="E41" s="37">
        <v>25500000</v>
      </c>
      <c r="F41" s="38" t="b">
        <f>FALSE()</f>
        <v>0</v>
      </c>
      <c r="G41" s="39">
        <f t="shared" si="3"/>
        <v>0</v>
      </c>
    </row>
    <row r="42" spans="2:7" ht="36" customHeight="1">
      <c r="B42" s="40" t="s">
        <v>154</v>
      </c>
      <c r="C42" s="45" t="s">
        <v>155</v>
      </c>
      <c r="D42" s="42" t="s">
        <v>156</v>
      </c>
      <c r="E42" s="43">
        <v>25500000</v>
      </c>
      <c r="F42" s="38" t="b">
        <f>TRUE()</f>
        <v>1</v>
      </c>
      <c r="G42" s="44">
        <f t="shared" si="3"/>
        <v>25500000</v>
      </c>
    </row>
    <row r="43" spans="2:7" ht="36" customHeight="1">
      <c r="B43" s="34" t="s">
        <v>157</v>
      </c>
      <c r="C43" s="35" t="s">
        <v>158</v>
      </c>
      <c r="D43" s="50" t="s">
        <v>159</v>
      </c>
      <c r="E43" s="37">
        <v>25500000</v>
      </c>
      <c r="F43" s="38" t="b">
        <f>FALSE()</f>
        <v>0</v>
      </c>
      <c r="G43" s="39">
        <f t="shared" si="3"/>
        <v>0</v>
      </c>
    </row>
    <row r="44" spans="2:7" ht="36" customHeight="1">
      <c r="B44" s="40" t="s">
        <v>160</v>
      </c>
      <c r="C44" s="45" t="s">
        <v>161</v>
      </c>
      <c r="D44" s="42" t="s">
        <v>162</v>
      </c>
      <c r="E44" s="43">
        <v>17000000</v>
      </c>
      <c r="F44" s="38" t="b">
        <f>TRUE()</f>
        <v>1</v>
      </c>
      <c r="G44" s="44">
        <f t="shared" si="3"/>
        <v>17000000</v>
      </c>
    </row>
    <row r="45" spans="2:7" ht="27.75" customHeight="1">
      <c r="B45" s="63" t="s">
        <v>163</v>
      </c>
      <c r="C45" s="63"/>
      <c r="D45" s="46"/>
      <c r="E45" s="46"/>
      <c r="F45" s="46"/>
      <c r="G45" s="47">
        <f>SUM(G39:G44)</f>
        <v>76500000</v>
      </c>
    </row>
    <row r="47" spans="2:7" ht="27.75" customHeight="1">
      <c r="B47" s="33" t="s">
        <v>14</v>
      </c>
      <c r="C47" s="62" t="s">
        <v>164</v>
      </c>
      <c r="D47" s="62"/>
      <c r="E47" s="62"/>
      <c r="F47" s="62"/>
      <c r="G47" s="62"/>
    </row>
    <row r="48" spans="2:7" ht="36" customHeight="1">
      <c r="B48" s="34" t="s">
        <v>165</v>
      </c>
      <c r="C48" s="35" t="s">
        <v>166</v>
      </c>
      <c r="D48" s="50" t="s">
        <v>167</v>
      </c>
      <c r="E48" s="37">
        <v>17000000</v>
      </c>
      <c r="F48" s="38" t="b">
        <f>TRUE()</f>
        <v>1</v>
      </c>
      <c r="G48" s="39">
        <f>IF(F48=TRUE(),E48,0)</f>
        <v>17000000</v>
      </c>
    </row>
    <row r="49" spans="2:7" ht="36" customHeight="1">
      <c r="B49" s="40" t="s">
        <v>168</v>
      </c>
      <c r="C49" s="45" t="s">
        <v>169</v>
      </c>
      <c r="D49" s="42" t="s">
        <v>170</v>
      </c>
      <c r="E49" s="43">
        <v>25500000</v>
      </c>
      <c r="F49" s="38" t="b">
        <f>FALSE()</f>
        <v>0</v>
      </c>
      <c r="G49" s="44">
        <f>IF(F49=TRUE(),E49,0)</f>
        <v>0</v>
      </c>
    </row>
    <row r="50" spans="2:7" ht="36" customHeight="1">
      <c r="B50" s="34" t="s">
        <v>171</v>
      </c>
      <c r="C50" s="35" t="s">
        <v>172</v>
      </c>
      <c r="D50" s="36" t="s">
        <v>173</v>
      </c>
      <c r="E50" s="37">
        <v>25500000</v>
      </c>
      <c r="F50" s="38" t="b">
        <f>FALSE()</f>
        <v>0</v>
      </c>
      <c r="G50" s="39">
        <f>IF(F50=TRUE(),E50,0)</f>
        <v>0</v>
      </c>
    </row>
    <row r="51" spans="2:7" ht="36" customHeight="1">
      <c r="B51" s="40" t="s">
        <v>174</v>
      </c>
      <c r="C51" s="45" t="s">
        <v>175</v>
      </c>
      <c r="D51" s="42" t="s">
        <v>176</v>
      </c>
      <c r="E51" s="43">
        <v>17000000</v>
      </c>
      <c r="F51" s="38" t="b">
        <f>FALSE()</f>
        <v>0</v>
      </c>
      <c r="G51" s="44">
        <f>IF(F51=TRUE(),E51,0)</f>
        <v>0</v>
      </c>
    </row>
    <row r="52" spans="2:7" ht="36" customHeight="1">
      <c r="B52" s="34" t="s">
        <v>177</v>
      </c>
      <c r="C52" s="35" t="s">
        <v>178</v>
      </c>
      <c r="D52" s="36" t="s">
        <v>179</v>
      </c>
      <c r="E52" s="37">
        <v>17000000</v>
      </c>
      <c r="F52" s="38" t="b">
        <f>FALSE()</f>
        <v>0</v>
      </c>
      <c r="G52" s="39">
        <f>IF(F52=TRUE(),E52,0)</f>
        <v>0</v>
      </c>
    </row>
    <row r="53" spans="2:7" ht="27.75" customHeight="1">
      <c r="B53" s="63" t="s">
        <v>180</v>
      </c>
      <c r="C53" s="63"/>
      <c r="D53" s="46"/>
      <c r="E53" s="46"/>
      <c r="F53" s="46"/>
      <c r="G53" s="47">
        <f>SUM(G48:G52)</f>
        <v>17000000</v>
      </c>
    </row>
    <row r="55" spans="2:7" ht="27.75" customHeight="1">
      <c r="B55" s="33" t="s">
        <v>36</v>
      </c>
      <c r="C55" s="62" t="s">
        <v>181</v>
      </c>
      <c r="D55" s="62"/>
      <c r="E55" s="62"/>
      <c r="F55" s="62"/>
      <c r="G55" s="62"/>
    </row>
    <row r="56" spans="2:7" ht="36" customHeight="1">
      <c r="B56" s="34" t="s">
        <v>182</v>
      </c>
      <c r="C56" s="35" t="s">
        <v>183</v>
      </c>
      <c r="D56" s="36" t="s">
        <v>184</v>
      </c>
      <c r="E56" s="37">
        <v>25500000</v>
      </c>
      <c r="F56" s="38" t="b">
        <f>TRUE()</f>
        <v>1</v>
      </c>
      <c r="G56" s="39">
        <f t="shared" ref="G56:G61" si="4">IF(F56=TRUE(),E56,0)</f>
        <v>25500000</v>
      </c>
    </row>
    <row r="57" spans="2:7" ht="36" customHeight="1">
      <c r="B57" s="40" t="s">
        <v>185</v>
      </c>
      <c r="C57" s="45" t="s">
        <v>186</v>
      </c>
      <c r="D57" s="42" t="s">
        <v>187</v>
      </c>
      <c r="E57" s="43">
        <v>17000000</v>
      </c>
      <c r="F57" s="38" t="b">
        <f>FALSE()</f>
        <v>0</v>
      </c>
      <c r="G57" s="44">
        <f t="shared" si="4"/>
        <v>0</v>
      </c>
    </row>
    <row r="58" spans="2:7" ht="36" customHeight="1">
      <c r="B58" s="34" t="s">
        <v>188</v>
      </c>
      <c r="C58" s="35" t="s">
        <v>189</v>
      </c>
      <c r="D58" s="36" t="s">
        <v>190</v>
      </c>
      <c r="E58" s="37">
        <v>25500000</v>
      </c>
      <c r="F58" s="38" t="b">
        <f>TRUE()</f>
        <v>1</v>
      </c>
      <c r="G58" s="39">
        <f t="shared" si="4"/>
        <v>25500000</v>
      </c>
    </row>
    <row r="59" spans="2:7" ht="36" customHeight="1">
      <c r="B59" s="40" t="s">
        <v>191</v>
      </c>
      <c r="C59" s="45" t="s">
        <v>192</v>
      </c>
      <c r="D59" s="42" t="s">
        <v>193</v>
      </c>
      <c r="E59" s="43">
        <v>17000000</v>
      </c>
      <c r="F59" s="38" t="b">
        <f>TRUE()</f>
        <v>1</v>
      </c>
      <c r="G59" s="44">
        <f t="shared" si="4"/>
        <v>17000000</v>
      </c>
    </row>
    <row r="60" spans="2:7" ht="36" customHeight="1">
      <c r="B60" s="34" t="s">
        <v>194</v>
      </c>
      <c r="C60" s="35" t="s">
        <v>195</v>
      </c>
      <c r="D60" s="36" t="s">
        <v>196</v>
      </c>
      <c r="E60" s="37">
        <v>17000000</v>
      </c>
      <c r="F60" s="38" t="b">
        <f>FALSE()</f>
        <v>0</v>
      </c>
      <c r="G60" s="39">
        <f t="shared" si="4"/>
        <v>0</v>
      </c>
    </row>
    <row r="61" spans="2:7" ht="36" customHeight="1">
      <c r="B61" s="40" t="s">
        <v>197</v>
      </c>
      <c r="C61" s="45" t="s">
        <v>198</v>
      </c>
      <c r="D61" s="42" t="s">
        <v>199</v>
      </c>
      <c r="E61" s="43">
        <v>25500000</v>
      </c>
      <c r="F61" s="38" t="b">
        <f>FALSE()</f>
        <v>0</v>
      </c>
      <c r="G61" s="44">
        <f t="shared" si="4"/>
        <v>0</v>
      </c>
    </row>
    <row r="62" spans="2:7" ht="27.75" customHeight="1">
      <c r="B62" s="63" t="s">
        <v>200</v>
      </c>
      <c r="C62" s="63"/>
      <c r="D62" s="46"/>
      <c r="E62" s="46"/>
      <c r="F62" s="46"/>
      <c r="G62" s="47">
        <f>SUM(G56:G61)</f>
        <v>68000000</v>
      </c>
    </row>
    <row r="64" spans="2:7" ht="27.75" customHeight="1">
      <c r="B64" s="33" t="s">
        <v>40</v>
      </c>
      <c r="C64" s="62" t="s">
        <v>201</v>
      </c>
      <c r="D64" s="62"/>
      <c r="E64" s="62"/>
      <c r="F64" s="62"/>
      <c r="G64" s="62"/>
    </row>
    <row r="65" spans="2:7" ht="36" customHeight="1">
      <c r="B65" s="34" t="s">
        <v>202</v>
      </c>
      <c r="C65" s="35" t="s">
        <v>203</v>
      </c>
      <c r="D65" s="36" t="s">
        <v>204</v>
      </c>
      <c r="E65" s="37">
        <v>17000000</v>
      </c>
      <c r="F65" s="38" t="b">
        <f>FALSE()</f>
        <v>0</v>
      </c>
      <c r="G65" s="39">
        <f>IF(F65=TRUE(),E65,0)</f>
        <v>0</v>
      </c>
    </row>
    <row r="66" spans="2:7" ht="36" customHeight="1">
      <c r="B66" s="40" t="s">
        <v>205</v>
      </c>
      <c r="C66" s="45" t="s">
        <v>206</v>
      </c>
      <c r="D66" s="42" t="s">
        <v>207</v>
      </c>
      <c r="E66" s="43">
        <v>25500000</v>
      </c>
      <c r="F66" s="38" t="b">
        <f>FALSE()</f>
        <v>0</v>
      </c>
      <c r="G66" s="44">
        <f>IF(F66=TRUE(),E66,0)</f>
        <v>0</v>
      </c>
    </row>
    <row r="67" spans="2:7" ht="36" customHeight="1">
      <c r="B67" s="34" t="s">
        <v>208</v>
      </c>
      <c r="C67" s="35" t="s">
        <v>209</v>
      </c>
      <c r="D67" s="36" t="s">
        <v>210</v>
      </c>
      <c r="E67" s="37">
        <v>25500000</v>
      </c>
      <c r="F67" s="38" t="b">
        <f>FALSE()</f>
        <v>0</v>
      </c>
      <c r="G67" s="39">
        <f>IF(F67=TRUE(),E67,0)</f>
        <v>0</v>
      </c>
    </row>
    <row r="68" spans="2:7" ht="36" customHeight="1">
      <c r="B68" s="40" t="s">
        <v>211</v>
      </c>
      <c r="C68" s="45" t="s">
        <v>212</v>
      </c>
      <c r="D68" s="42" t="s">
        <v>213</v>
      </c>
      <c r="E68" s="43">
        <v>17000000</v>
      </c>
      <c r="F68" s="38" t="b">
        <f>TRUE()</f>
        <v>1</v>
      </c>
      <c r="G68" s="44">
        <f>IF(F68=TRUE(),E68,0)</f>
        <v>17000000</v>
      </c>
    </row>
    <row r="69" spans="2:7" ht="36" customHeight="1">
      <c r="B69" s="34" t="s">
        <v>214</v>
      </c>
      <c r="C69" s="35" t="s">
        <v>215</v>
      </c>
      <c r="D69" s="50" t="s">
        <v>216</v>
      </c>
      <c r="E69" s="37">
        <v>17000000</v>
      </c>
      <c r="F69" s="38" t="b">
        <f>FALSE()</f>
        <v>0</v>
      </c>
      <c r="G69" s="39">
        <f>IF(F69=TRUE(),E69,0)</f>
        <v>0</v>
      </c>
    </row>
    <row r="70" spans="2:7" ht="27.75" customHeight="1">
      <c r="B70" s="63" t="s">
        <v>217</v>
      </c>
      <c r="C70" s="63"/>
      <c r="D70" s="46"/>
      <c r="E70" s="46"/>
      <c r="F70" s="46"/>
      <c r="G70" s="47">
        <f>SUM(G65:G69)</f>
        <v>17000000</v>
      </c>
    </row>
    <row r="72" spans="2:7" ht="27.75" customHeight="1">
      <c r="B72" s="33" t="s">
        <v>44</v>
      </c>
      <c r="C72" s="62" t="s">
        <v>218</v>
      </c>
      <c r="D72" s="62"/>
      <c r="E72" s="62"/>
      <c r="F72" s="62"/>
      <c r="G72" s="62"/>
    </row>
    <row r="73" spans="2:7" ht="36" customHeight="1">
      <c r="B73" s="34" t="s">
        <v>219</v>
      </c>
      <c r="C73" s="35" t="s">
        <v>220</v>
      </c>
      <c r="D73" s="36" t="s">
        <v>221</v>
      </c>
      <c r="E73" s="37">
        <v>17000000</v>
      </c>
      <c r="F73" s="38" t="b">
        <f>TRUE()</f>
        <v>1</v>
      </c>
      <c r="G73" s="39">
        <f>IF(F73=TRUE(),E73,0)</f>
        <v>17000000</v>
      </c>
    </row>
    <row r="74" spans="2:7" ht="36" customHeight="1">
      <c r="B74" s="40" t="s">
        <v>222</v>
      </c>
      <c r="C74" s="45" t="s">
        <v>223</v>
      </c>
      <c r="D74" s="42" t="s">
        <v>224</v>
      </c>
      <c r="E74" s="43">
        <v>17000000</v>
      </c>
      <c r="F74" s="38" t="b">
        <f>FALSE()</f>
        <v>0</v>
      </c>
      <c r="G74" s="44">
        <f>IF(F74=TRUE(),E74,0)</f>
        <v>0</v>
      </c>
    </row>
    <row r="75" spans="2:7" ht="36" customHeight="1">
      <c r="B75" s="34" t="s">
        <v>225</v>
      </c>
      <c r="C75" s="35" t="s">
        <v>226</v>
      </c>
      <c r="D75" s="36" t="s">
        <v>227</v>
      </c>
      <c r="E75" s="37">
        <v>17000000</v>
      </c>
      <c r="F75" s="38" t="b">
        <f>FALSE()</f>
        <v>0</v>
      </c>
      <c r="G75" s="39">
        <f>IF(F75=TRUE(),E75,0)</f>
        <v>0</v>
      </c>
    </row>
    <row r="76" spans="2:7" ht="36" customHeight="1">
      <c r="B76" s="40" t="s">
        <v>228</v>
      </c>
      <c r="C76" s="45" t="s">
        <v>229</v>
      </c>
      <c r="D76" s="42" t="s">
        <v>230</v>
      </c>
      <c r="E76" s="43">
        <v>17000000</v>
      </c>
      <c r="F76" s="38" t="b">
        <f>FALSE()</f>
        <v>0</v>
      </c>
      <c r="G76" s="44">
        <f>IF(F76=TRUE(),E76,0)</f>
        <v>0</v>
      </c>
    </row>
    <row r="77" spans="2:7" ht="36" customHeight="1">
      <c r="B77" s="34" t="s">
        <v>231</v>
      </c>
      <c r="C77" s="35" t="s">
        <v>232</v>
      </c>
      <c r="D77" s="36" t="s">
        <v>233</v>
      </c>
      <c r="E77" s="37">
        <v>25500000</v>
      </c>
      <c r="F77" s="38" t="b">
        <f>FALSE()</f>
        <v>0</v>
      </c>
      <c r="G77" s="39">
        <f>IF(F77=TRUE(),E77,0)</f>
        <v>0</v>
      </c>
    </row>
    <row r="78" spans="2:7" ht="27.75" customHeight="1">
      <c r="B78" s="63" t="s">
        <v>234</v>
      </c>
      <c r="C78" s="63"/>
      <c r="D78" s="46"/>
      <c r="E78" s="46"/>
      <c r="F78" s="46"/>
      <c r="G78" s="47">
        <f>SUM(G73:G77)</f>
        <v>17000000</v>
      </c>
    </row>
    <row r="80" spans="2:7" ht="27.75" customHeight="1">
      <c r="B80" s="33" t="s">
        <v>48</v>
      </c>
      <c r="C80" s="62" t="s">
        <v>235</v>
      </c>
      <c r="D80" s="62"/>
      <c r="E80" s="62"/>
      <c r="F80" s="62"/>
      <c r="G80" s="62"/>
    </row>
    <row r="81" spans="2:7" ht="36" customHeight="1">
      <c r="B81" s="34" t="s">
        <v>236</v>
      </c>
      <c r="C81" s="35" t="s">
        <v>237</v>
      </c>
      <c r="D81" s="36" t="s">
        <v>238</v>
      </c>
      <c r="E81" s="37">
        <v>17000000</v>
      </c>
      <c r="F81" s="38" t="b">
        <f>TRUE()</f>
        <v>1</v>
      </c>
      <c r="G81" s="39">
        <f t="shared" ref="G81:G86" si="5">IF(F81=TRUE(),E81,0)</f>
        <v>17000000</v>
      </c>
    </row>
    <row r="82" spans="2:7" ht="36" customHeight="1">
      <c r="B82" s="40" t="s">
        <v>239</v>
      </c>
      <c r="C82" s="45" t="s">
        <v>240</v>
      </c>
      <c r="D82" s="42" t="s">
        <v>241</v>
      </c>
      <c r="E82" s="43">
        <v>17000000</v>
      </c>
      <c r="F82" s="38" t="b">
        <f>FALSE()</f>
        <v>0</v>
      </c>
      <c r="G82" s="44">
        <f t="shared" si="5"/>
        <v>0</v>
      </c>
    </row>
    <row r="83" spans="2:7" ht="36" customHeight="1">
      <c r="B83" s="34" t="s">
        <v>242</v>
      </c>
      <c r="C83" s="35" t="s">
        <v>243</v>
      </c>
      <c r="D83" s="36" t="s">
        <v>244</v>
      </c>
      <c r="E83" s="37">
        <v>17000000</v>
      </c>
      <c r="F83" s="38" t="b">
        <f>FALSE()</f>
        <v>0</v>
      </c>
      <c r="G83" s="39">
        <f t="shared" si="5"/>
        <v>0</v>
      </c>
    </row>
    <row r="84" spans="2:7" ht="36" customHeight="1">
      <c r="B84" s="40" t="s">
        <v>245</v>
      </c>
      <c r="C84" s="45" t="s">
        <v>246</v>
      </c>
      <c r="D84" s="42" t="s">
        <v>247</v>
      </c>
      <c r="E84" s="43">
        <v>17000000</v>
      </c>
      <c r="F84" s="38" t="b">
        <f>TRUE()</f>
        <v>1</v>
      </c>
      <c r="G84" s="44">
        <f t="shared" si="5"/>
        <v>17000000</v>
      </c>
    </row>
    <row r="85" spans="2:7" ht="36" customHeight="1">
      <c r="B85" s="34" t="s">
        <v>248</v>
      </c>
      <c r="C85" s="35" t="s">
        <v>249</v>
      </c>
      <c r="D85" s="36" t="s">
        <v>250</v>
      </c>
      <c r="E85" s="37">
        <v>17000000</v>
      </c>
      <c r="F85" s="38" t="b">
        <f>FALSE()</f>
        <v>0</v>
      </c>
      <c r="G85" s="39">
        <f t="shared" si="5"/>
        <v>0</v>
      </c>
    </row>
    <row r="86" spans="2:7" ht="36" customHeight="1">
      <c r="B86" s="40" t="s">
        <v>251</v>
      </c>
      <c r="C86" s="45" t="s">
        <v>252</v>
      </c>
      <c r="D86" s="42" t="s">
        <v>253</v>
      </c>
      <c r="E86" s="43">
        <v>17000000</v>
      </c>
      <c r="F86" s="38" t="b">
        <f>FALSE()</f>
        <v>0</v>
      </c>
      <c r="G86" s="44">
        <f t="shared" si="5"/>
        <v>0</v>
      </c>
    </row>
    <row r="87" spans="2:7" ht="27.75" customHeight="1">
      <c r="B87" s="63" t="s">
        <v>254</v>
      </c>
      <c r="C87" s="63"/>
      <c r="D87" s="46"/>
      <c r="E87" s="46"/>
      <c r="F87" s="46"/>
      <c r="G87" s="47">
        <f>SUM(G81:G86)</f>
        <v>34000000</v>
      </c>
    </row>
    <row r="89" spans="2:7" ht="27.75" customHeight="1">
      <c r="B89" s="33" t="s">
        <v>52</v>
      </c>
      <c r="C89" s="62" t="s">
        <v>255</v>
      </c>
      <c r="D89" s="62"/>
      <c r="E89" s="62"/>
      <c r="F89" s="62"/>
      <c r="G89" s="62"/>
    </row>
    <row r="90" spans="2:7" ht="36" customHeight="1">
      <c r="B90" s="34" t="s">
        <v>256</v>
      </c>
      <c r="C90" s="35" t="s">
        <v>257</v>
      </c>
      <c r="D90" s="36" t="s">
        <v>258</v>
      </c>
      <c r="E90" s="37">
        <v>25500000</v>
      </c>
      <c r="F90" s="38" t="b">
        <f>FALSE()</f>
        <v>0</v>
      </c>
      <c r="G90" s="39">
        <f>IF(F90=TRUE(),E90,0)</f>
        <v>0</v>
      </c>
    </row>
    <row r="91" spans="2:7" ht="36" customHeight="1">
      <c r="B91" s="40" t="s">
        <v>259</v>
      </c>
      <c r="C91" s="45" t="s">
        <v>260</v>
      </c>
      <c r="D91" s="42" t="s">
        <v>261</v>
      </c>
      <c r="E91" s="43">
        <v>25500000</v>
      </c>
      <c r="F91" s="38" t="b">
        <f>FALSE()</f>
        <v>0</v>
      </c>
      <c r="G91" s="44">
        <f>IF(F91=TRUE(),E91,0)</f>
        <v>0</v>
      </c>
    </row>
    <row r="92" spans="2:7" ht="36" customHeight="1">
      <c r="B92" s="34" t="s">
        <v>262</v>
      </c>
      <c r="C92" s="35" t="s">
        <v>263</v>
      </c>
      <c r="D92" s="36" t="s">
        <v>264</v>
      </c>
      <c r="E92" s="37">
        <v>17000000</v>
      </c>
      <c r="F92" s="38" t="b">
        <f>TRUE()</f>
        <v>1</v>
      </c>
      <c r="G92" s="39">
        <f>IF(F92=TRUE(),E92,0)</f>
        <v>17000000</v>
      </c>
    </row>
    <row r="93" spans="2:7" ht="36" customHeight="1">
      <c r="B93" s="40" t="s">
        <v>265</v>
      </c>
      <c r="C93" s="45" t="s">
        <v>266</v>
      </c>
      <c r="D93" s="42" t="s">
        <v>267</v>
      </c>
      <c r="E93" s="43">
        <v>25500000</v>
      </c>
      <c r="F93" s="38" t="b">
        <f>FALSE()</f>
        <v>0</v>
      </c>
      <c r="G93" s="44">
        <f>IF(F93=TRUE(),E93,0)</f>
        <v>0</v>
      </c>
    </row>
    <row r="94" spans="2:7" ht="36" customHeight="1">
      <c r="B94" s="34" t="s">
        <v>268</v>
      </c>
      <c r="C94" s="48" t="s">
        <v>269</v>
      </c>
      <c r="D94" s="36" t="s">
        <v>270</v>
      </c>
      <c r="E94" s="37">
        <v>17000000</v>
      </c>
      <c r="F94" s="38" t="b">
        <f>FALSE()</f>
        <v>0</v>
      </c>
      <c r="G94" s="39">
        <f>IF(F94=TRUE(),E94,0)</f>
        <v>0</v>
      </c>
    </row>
    <row r="95" spans="2:7" ht="27.75" customHeight="1">
      <c r="B95" s="63" t="s">
        <v>271</v>
      </c>
      <c r="C95" s="63"/>
      <c r="D95" s="46"/>
      <c r="E95" s="46"/>
      <c r="F95" s="46"/>
      <c r="G95" s="47">
        <f>SUM(G90:G94)</f>
        <v>17000000</v>
      </c>
    </row>
    <row r="98" spans="2:7" ht="37.5" customHeight="1">
      <c r="B98" s="64" t="s">
        <v>272</v>
      </c>
      <c r="C98" s="64"/>
      <c r="D98" s="64"/>
      <c r="E98" s="64"/>
      <c r="F98" s="64"/>
      <c r="G98" s="51">
        <f>G16+G27+G36+G45+G53+G62+G70+G78+G87+G95</f>
        <v>476000000</v>
      </c>
    </row>
  </sheetData>
  <mergeCells count="23">
    <mergeCell ref="C89:G89"/>
    <mergeCell ref="B95:C95"/>
    <mergeCell ref="B98:F98"/>
    <mergeCell ref="B70:C70"/>
    <mergeCell ref="C72:G72"/>
    <mergeCell ref="B78:C78"/>
    <mergeCell ref="C80:G80"/>
    <mergeCell ref="B87:C87"/>
    <mergeCell ref="C47:G47"/>
    <mergeCell ref="B53:C53"/>
    <mergeCell ref="C55:G55"/>
    <mergeCell ref="B62:C62"/>
    <mergeCell ref="C64:G64"/>
    <mergeCell ref="B27:C27"/>
    <mergeCell ref="C29:G29"/>
    <mergeCell ref="B36:C36"/>
    <mergeCell ref="C38:G38"/>
    <mergeCell ref="B45:C45"/>
    <mergeCell ref="B4:H4"/>
    <mergeCell ref="B5:H5"/>
    <mergeCell ref="C8:G8"/>
    <mergeCell ref="B16:C16"/>
    <mergeCell ref="C18:G18"/>
  </mergeCells>
  <phoneticPr fontId="45" type="noConversion"/>
  <dataValidations count="1">
    <dataValidation type="list" errorTitle="잘못된 입력" error="TRUE 또는 FALSE만 입력 가능합니다" sqref="F9:F15 F19:F26 F30:F35 F39:F44 F48:F52 F56:F61 F65:F69 F73:F77 F81:F86 F90:F94" xr:uid="{00000000-0002-0000-0200-000000000000}">
      <formula1>"TRUE,FALSE"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98"/>
  <sheetViews>
    <sheetView zoomScaleNormal="100" workbookViewId="0">
      <pane ySplit="7" topLeftCell="A84" activePane="bottomLeft" state="frozen"/>
      <selection pane="bottomLeft"/>
    </sheetView>
  </sheetViews>
  <sheetFormatPr baseColWidth="10" defaultColWidth="8.6640625" defaultRowHeight="15"/>
  <cols>
    <col min="1" max="1" width="2" customWidth="1"/>
    <col min="2" max="2" width="9" customWidth="1"/>
    <col min="3" max="3" width="38" customWidth="1"/>
    <col min="4" max="4" width="60" customWidth="1"/>
    <col min="5" max="5" width="16" customWidth="1"/>
    <col min="6" max="6" width="11" customWidth="1"/>
    <col min="7" max="7" width="18" customWidth="1"/>
  </cols>
  <sheetData>
    <row r="2" spans="2:8" ht="3.75" customHeight="1">
      <c r="B2" s="15"/>
      <c r="C2" s="15"/>
      <c r="D2" s="15"/>
      <c r="E2" s="15"/>
      <c r="F2" s="15"/>
      <c r="G2" s="15"/>
      <c r="H2" s="15"/>
    </row>
    <row r="4" spans="2:8" ht="31.5" customHeight="1">
      <c r="B4" s="1" t="s">
        <v>275</v>
      </c>
      <c r="C4" s="1"/>
      <c r="D4" s="1"/>
      <c r="E4" s="1"/>
      <c r="F4" s="1"/>
      <c r="G4" s="1"/>
      <c r="H4" s="1"/>
    </row>
    <row r="5" spans="2:8" ht="19.5" customHeight="1">
      <c r="B5" s="12" t="s">
        <v>276</v>
      </c>
      <c r="C5" s="12"/>
      <c r="D5" s="12"/>
      <c r="E5" s="12"/>
      <c r="F5" s="12"/>
      <c r="G5" s="12"/>
      <c r="H5" s="12"/>
    </row>
    <row r="7" spans="2:8" ht="30" customHeight="1">
      <c r="B7" s="32" t="s">
        <v>69</v>
      </c>
      <c r="C7" s="32" t="s">
        <v>70</v>
      </c>
      <c r="D7" s="32" t="s">
        <v>71</v>
      </c>
      <c r="E7" s="32" t="s">
        <v>72</v>
      </c>
      <c r="F7" s="32" t="s">
        <v>73</v>
      </c>
      <c r="G7" s="32" t="s">
        <v>74</v>
      </c>
    </row>
    <row r="8" spans="2:8" ht="27.75" customHeight="1">
      <c r="B8" s="33" t="s">
        <v>6</v>
      </c>
      <c r="C8" s="62" t="s">
        <v>75</v>
      </c>
      <c r="D8" s="62"/>
      <c r="E8" s="62"/>
      <c r="F8" s="62"/>
      <c r="G8" s="62"/>
    </row>
    <row r="9" spans="2:8" ht="36" customHeight="1">
      <c r="B9" s="34" t="s">
        <v>76</v>
      </c>
      <c r="C9" s="35" t="s">
        <v>77</v>
      </c>
      <c r="D9" s="36" t="s">
        <v>78</v>
      </c>
      <c r="E9" s="37">
        <v>45000000</v>
      </c>
      <c r="F9" s="38" t="b">
        <f>TRUE()</f>
        <v>1</v>
      </c>
      <c r="G9" s="39">
        <f t="shared" ref="G9:G15" si="0">IF(F9=TRUE(),E9,0)</f>
        <v>45000000</v>
      </c>
    </row>
    <row r="10" spans="2:8" ht="36" customHeight="1">
      <c r="B10" s="40" t="s">
        <v>79</v>
      </c>
      <c r="C10" s="41" t="s">
        <v>80</v>
      </c>
      <c r="D10" s="42" t="s">
        <v>81</v>
      </c>
      <c r="E10" s="43">
        <v>60000000</v>
      </c>
      <c r="F10" s="38" t="b">
        <f>TRUE()</f>
        <v>1</v>
      </c>
      <c r="G10" s="44">
        <f t="shared" si="0"/>
        <v>60000000</v>
      </c>
    </row>
    <row r="11" spans="2:8" ht="36" customHeight="1">
      <c r="B11" s="34" t="s">
        <v>82</v>
      </c>
      <c r="C11" s="35" t="s">
        <v>83</v>
      </c>
      <c r="D11" s="36" t="s">
        <v>84</v>
      </c>
      <c r="E11" s="37">
        <v>30000000</v>
      </c>
      <c r="F11" s="38" t="b">
        <f>TRUE()</f>
        <v>1</v>
      </c>
      <c r="G11" s="39">
        <f t="shared" si="0"/>
        <v>30000000</v>
      </c>
    </row>
    <row r="12" spans="2:8" ht="36" customHeight="1">
      <c r="B12" s="40" t="s">
        <v>85</v>
      </c>
      <c r="C12" s="45" t="s">
        <v>86</v>
      </c>
      <c r="D12" s="42" t="s">
        <v>87</v>
      </c>
      <c r="E12" s="43">
        <v>30000000</v>
      </c>
      <c r="F12" s="38" t="b">
        <f>FALSE()</f>
        <v>0</v>
      </c>
      <c r="G12" s="44">
        <f t="shared" si="0"/>
        <v>0</v>
      </c>
    </row>
    <row r="13" spans="2:8" ht="36" customHeight="1">
      <c r="B13" s="34" t="s">
        <v>88</v>
      </c>
      <c r="C13" s="35" t="s">
        <v>89</v>
      </c>
      <c r="D13" s="36" t="s">
        <v>90</v>
      </c>
      <c r="E13" s="37">
        <v>45000000</v>
      </c>
      <c r="F13" s="38" t="b">
        <f>FALSE()</f>
        <v>0</v>
      </c>
      <c r="G13" s="39">
        <f t="shared" si="0"/>
        <v>0</v>
      </c>
    </row>
    <row r="14" spans="2:8" ht="36" customHeight="1">
      <c r="B14" s="40" t="s">
        <v>91</v>
      </c>
      <c r="C14" s="45" t="s">
        <v>92</v>
      </c>
      <c r="D14" s="42" t="s">
        <v>93</v>
      </c>
      <c r="E14" s="43">
        <v>30000000</v>
      </c>
      <c r="F14" s="38" t="b">
        <f>TRUE()</f>
        <v>1</v>
      </c>
      <c r="G14" s="44">
        <f t="shared" si="0"/>
        <v>30000000</v>
      </c>
    </row>
    <row r="15" spans="2:8" ht="36" customHeight="1">
      <c r="B15" s="34" t="s">
        <v>94</v>
      </c>
      <c r="C15" s="35" t="s">
        <v>95</v>
      </c>
      <c r="D15" s="36" t="s">
        <v>96</v>
      </c>
      <c r="E15" s="37">
        <v>45000000</v>
      </c>
      <c r="F15" s="38" t="b">
        <f>FALSE()</f>
        <v>0</v>
      </c>
      <c r="G15" s="39">
        <f t="shared" si="0"/>
        <v>0</v>
      </c>
    </row>
    <row r="16" spans="2:8" ht="27.75" customHeight="1">
      <c r="B16" s="63" t="s">
        <v>97</v>
      </c>
      <c r="C16" s="63"/>
      <c r="D16" s="46"/>
      <c r="E16" s="46"/>
      <c r="F16" s="46"/>
      <c r="G16" s="47">
        <f>SUM(G9:G15)</f>
        <v>165000000</v>
      </c>
    </row>
    <row r="18" spans="2:7" ht="27.75" customHeight="1">
      <c r="B18" s="33" t="s">
        <v>8</v>
      </c>
      <c r="C18" s="62" t="s">
        <v>98</v>
      </c>
      <c r="D18" s="62"/>
      <c r="E18" s="62"/>
      <c r="F18" s="62"/>
      <c r="G18" s="62"/>
    </row>
    <row r="19" spans="2:7" ht="36" customHeight="1">
      <c r="B19" s="34" t="s">
        <v>99</v>
      </c>
      <c r="C19" s="35" t="s">
        <v>100</v>
      </c>
      <c r="D19" s="36" t="s">
        <v>101</v>
      </c>
      <c r="E19" s="37">
        <v>45000000</v>
      </c>
      <c r="F19" s="38" t="b">
        <f>TRUE()</f>
        <v>1</v>
      </c>
      <c r="G19" s="39">
        <f t="shared" ref="G19:G26" si="1">IF(F19=TRUE(),E19,0)</f>
        <v>45000000</v>
      </c>
    </row>
    <row r="20" spans="2:7" ht="36" customHeight="1">
      <c r="B20" s="40" t="s">
        <v>102</v>
      </c>
      <c r="C20" s="41" t="s">
        <v>103</v>
      </c>
      <c r="D20" s="42" t="s">
        <v>104</v>
      </c>
      <c r="E20" s="43">
        <v>45000000</v>
      </c>
      <c r="F20" s="38" t="b">
        <f>TRUE()</f>
        <v>1</v>
      </c>
      <c r="G20" s="44">
        <f t="shared" si="1"/>
        <v>45000000</v>
      </c>
    </row>
    <row r="21" spans="2:7" ht="36" customHeight="1">
      <c r="B21" s="34" t="s">
        <v>105</v>
      </c>
      <c r="C21" s="35" t="s">
        <v>106</v>
      </c>
      <c r="D21" s="36" t="s">
        <v>107</v>
      </c>
      <c r="E21" s="37">
        <v>60000000</v>
      </c>
      <c r="F21" s="38" t="b">
        <f>FALSE()</f>
        <v>0</v>
      </c>
      <c r="G21" s="39">
        <f t="shared" si="1"/>
        <v>0</v>
      </c>
    </row>
    <row r="22" spans="2:7" ht="36" customHeight="1">
      <c r="B22" s="40" t="s">
        <v>108</v>
      </c>
      <c r="C22" s="45" t="s">
        <v>109</v>
      </c>
      <c r="D22" s="42" t="s">
        <v>110</v>
      </c>
      <c r="E22" s="43">
        <v>60000000</v>
      </c>
      <c r="F22" s="38" t="b">
        <f>FALSE()</f>
        <v>0</v>
      </c>
      <c r="G22" s="44">
        <f t="shared" si="1"/>
        <v>0</v>
      </c>
    </row>
    <row r="23" spans="2:7" ht="36" customHeight="1">
      <c r="B23" s="34" t="s">
        <v>111</v>
      </c>
      <c r="C23" s="35" t="s">
        <v>112</v>
      </c>
      <c r="D23" s="36" t="s">
        <v>113</v>
      </c>
      <c r="E23" s="37">
        <v>45000000</v>
      </c>
      <c r="F23" s="38" t="b">
        <f>FALSE()</f>
        <v>0</v>
      </c>
      <c r="G23" s="39">
        <f t="shared" si="1"/>
        <v>0</v>
      </c>
    </row>
    <row r="24" spans="2:7" ht="36" customHeight="1">
      <c r="B24" s="40" t="s">
        <v>114</v>
      </c>
      <c r="C24" s="45" t="s">
        <v>115</v>
      </c>
      <c r="D24" s="42" t="s">
        <v>116</v>
      </c>
      <c r="E24" s="43">
        <v>30000000</v>
      </c>
      <c r="F24" s="38" t="b">
        <f>TRUE()</f>
        <v>1</v>
      </c>
      <c r="G24" s="44">
        <f t="shared" si="1"/>
        <v>30000000</v>
      </c>
    </row>
    <row r="25" spans="2:7" ht="36" customHeight="1">
      <c r="B25" s="34" t="s">
        <v>117</v>
      </c>
      <c r="C25" s="48" t="s">
        <v>118</v>
      </c>
      <c r="D25" s="36" t="s">
        <v>119</v>
      </c>
      <c r="E25" s="37">
        <v>45000000</v>
      </c>
      <c r="F25" s="38" t="b">
        <f>FALSE()</f>
        <v>0</v>
      </c>
      <c r="G25" s="39">
        <f t="shared" si="1"/>
        <v>0</v>
      </c>
    </row>
    <row r="26" spans="2:7" ht="36" customHeight="1">
      <c r="B26" s="40" t="s">
        <v>120</v>
      </c>
      <c r="C26" s="45" t="s">
        <v>121</v>
      </c>
      <c r="D26" s="49" t="s">
        <v>122</v>
      </c>
      <c r="E26" s="43">
        <v>30000000</v>
      </c>
      <c r="F26" s="38" t="b">
        <f>FALSE()</f>
        <v>0</v>
      </c>
      <c r="G26" s="44">
        <f t="shared" si="1"/>
        <v>0</v>
      </c>
    </row>
    <row r="27" spans="2:7" ht="27.75" customHeight="1">
      <c r="B27" s="63" t="s">
        <v>123</v>
      </c>
      <c r="C27" s="63"/>
      <c r="D27" s="46"/>
      <c r="E27" s="46"/>
      <c r="F27" s="46"/>
      <c r="G27" s="47">
        <f>SUM(G19:G26)</f>
        <v>120000000</v>
      </c>
    </row>
    <row r="29" spans="2:7" ht="27.75" customHeight="1">
      <c r="B29" s="33" t="s">
        <v>10</v>
      </c>
      <c r="C29" s="62" t="s">
        <v>124</v>
      </c>
      <c r="D29" s="62"/>
      <c r="E29" s="62"/>
      <c r="F29" s="62"/>
      <c r="G29" s="62"/>
    </row>
    <row r="30" spans="2:7" ht="36" customHeight="1">
      <c r="B30" s="34" t="s">
        <v>125</v>
      </c>
      <c r="C30" s="35" t="s">
        <v>126</v>
      </c>
      <c r="D30" s="36" t="s">
        <v>127</v>
      </c>
      <c r="E30" s="37">
        <v>45000000</v>
      </c>
      <c r="F30" s="38" t="b">
        <f>TRUE()</f>
        <v>1</v>
      </c>
      <c r="G30" s="39">
        <f t="shared" ref="G30:G35" si="2">IF(F30=TRUE(),E30,0)</f>
        <v>45000000</v>
      </c>
    </row>
    <row r="31" spans="2:7" ht="36" customHeight="1">
      <c r="B31" s="40" t="s">
        <v>128</v>
      </c>
      <c r="C31" s="45" t="s">
        <v>129</v>
      </c>
      <c r="D31" s="42" t="s">
        <v>130</v>
      </c>
      <c r="E31" s="43">
        <v>45000000</v>
      </c>
      <c r="F31" s="38" t="b">
        <f>TRUE()</f>
        <v>1</v>
      </c>
      <c r="G31" s="44">
        <f t="shared" si="2"/>
        <v>45000000</v>
      </c>
    </row>
    <row r="32" spans="2:7" ht="36" customHeight="1">
      <c r="B32" s="34" t="s">
        <v>131</v>
      </c>
      <c r="C32" s="35" t="s">
        <v>132</v>
      </c>
      <c r="D32" s="36" t="s">
        <v>133</v>
      </c>
      <c r="E32" s="37">
        <v>30000000</v>
      </c>
      <c r="F32" s="38" t="b">
        <f>TRUE()</f>
        <v>1</v>
      </c>
      <c r="G32" s="39">
        <f t="shared" si="2"/>
        <v>30000000</v>
      </c>
    </row>
    <row r="33" spans="2:7" ht="36" customHeight="1">
      <c r="B33" s="40" t="s">
        <v>134</v>
      </c>
      <c r="C33" s="45" t="s">
        <v>135</v>
      </c>
      <c r="D33" s="49" t="s">
        <v>136</v>
      </c>
      <c r="E33" s="43">
        <v>45000000</v>
      </c>
      <c r="F33" s="38" t="b">
        <f>FALSE()</f>
        <v>0</v>
      </c>
      <c r="G33" s="44">
        <f t="shared" si="2"/>
        <v>0</v>
      </c>
    </row>
    <row r="34" spans="2:7" ht="36" customHeight="1">
      <c r="B34" s="34" t="s">
        <v>137</v>
      </c>
      <c r="C34" s="35" t="s">
        <v>138</v>
      </c>
      <c r="D34" s="36" t="s">
        <v>139</v>
      </c>
      <c r="E34" s="37">
        <v>30000000</v>
      </c>
      <c r="F34" s="38" t="b">
        <f>FALSE()</f>
        <v>0</v>
      </c>
      <c r="G34" s="39">
        <f t="shared" si="2"/>
        <v>0</v>
      </c>
    </row>
    <row r="35" spans="2:7" ht="36" customHeight="1">
      <c r="B35" s="40" t="s">
        <v>140</v>
      </c>
      <c r="C35" s="45" t="s">
        <v>141</v>
      </c>
      <c r="D35" s="42" t="s">
        <v>142</v>
      </c>
      <c r="E35" s="43">
        <v>45000000</v>
      </c>
      <c r="F35" s="38" t="b">
        <f>FALSE()</f>
        <v>0</v>
      </c>
      <c r="G35" s="44">
        <f t="shared" si="2"/>
        <v>0</v>
      </c>
    </row>
    <row r="36" spans="2:7" ht="27.75" customHeight="1">
      <c r="B36" s="63" t="s">
        <v>143</v>
      </c>
      <c r="C36" s="63"/>
      <c r="D36" s="46"/>
      <c r="E36" s="46"/>
      <c r="F36" s="46"/>
      <c r="G36" s="47">
        <f>SUM(G30:G35)</f>
        <v>120000000</v>
      </c>
    </row>
    <row r="38" spans="2:7" ht="27.75" customHeight="1">
      <c r="B38" s="33" t="s">
        <v>12</v>
      </c>
      <c r="C38" s="62" t="s">
        <v>144</v>
      </c>
      <c r="D38" s="62"/>
      <c r="E38" s="62"/>
      <c r="F38" s="62"/>
      <c r="G38" s="62"/>
    </row>
    <row r="39" spans="2:7" ht="36" customHeight="1">
      <c r="B39" s="34" t="s">
        <v>145</v>
      </c>
      <c r="C39" s="35" t="s">
        <v>146</v>
      </c>
      <c r="D39" s="36" t="s">
        <v>147</v>
      </c>
      <c r="E39" s="37">
        <v>30000000</v>
      </c>
      <c r="F39" s="38" t="b">
        <f>TRUE()</f>
        <v>1</v>
      </c>
      <c r="G39" s="39">
        <f t="shared" ref="G39:G44" si="3">IF(F39=TRUE(),E39,0)</f>
        <v>30000000</v>
      </c>
    </row>
    <row r="40" spans="2:7" ht="36" customHeight="1">
      <c r="B40" s="40" t="s">
        <v>148</v>
      </c>
      <c r="C40" s="41" t="s">
        <v>149</v>
      </c>
      <c r="D40" s="42" t="s">
        <v>150</v>
      </c>
      <c r="E40" s="43">
        <v>30000000</v>
      </c>
      <c r="F40" s="38" t="b">
        <f>TRUE()</f>
        <v>1</v>
      </c>
      <c r="G40" s="44">
        <f t="shared" si="3"/>
        <v>30000000</v>
      </c>
    </row>
    <row r="41" spans="2:7" ht="36" customHeight="1">
      <c r="B41" s="34" t="s">
        <v>151</v>
      </c>
      <c r="C41" s="35" t="s">
        <v>152</v>
      </c>
      <c r="D41" s="36" t="s">
        <v>153</v>
      </c>
      <c r="E41" s="37">
        <v>45000000</v>
      </c>
      <c r="F41" s="38" t="b">
        <f>FALSE()</f>
        <v>0</v>
      </c>
      <c r="G41" s="39">
        <f t="shared" si="3"/>
        <v>0</v>
      </c>
    </row>
    <row r="42" spans="2:7" ht="36" customHeight="1">
      <c r="B42" s="40" t="s">
        <v>154</v>
      </c>
      <c r="C42" s="45" t="s">
        <v>155</v>
      </c>
      <c r="D42" s="42" t="s">
        <v>156</v>
      </c>
      <c r="E42" s="43">
        <v>45000000</v>
      </c>
      <c r="F42" s="38" t="b">
        <f>TRUE()</f>
        <v>1</v>
      </c>
      <c r="G42" s="44">
        <f t="shared" si="3"/>
        <v>45000000</v>
      </c>
    </row>
    <row r="43" spans="2:7" ht="36" customHeight="1">
      <c r="B43" s="34" t="s">
        <v>157</v>
      </c>
      <c r="C43" s="35" t="s">
        <v>158</v>
      </c>
      <c r="D43" s="50" t="s">
        <v>159</v>
      </c>
      <c r="E43" s="37">
        <v>45000000</v>
      </c>
      <c r="F43" s="38" t="b">
        <f>FALSE()</f>
        <v>0</v>
      </c>
      <c r="G43" s="39">
        <f t="shared" si="3"/>
        <v>0</v>
      </c>
    </row>
    <row r="44" spans="2:7" ht="36" customHeight="1">
      <c r="B44" s="40" t="s">
        <v>160</v>
      </c>
      <c r="C44" s="45" t="s">
        <v>161</v>
      </c>
      <c r="D44" s="42" t="s">
        <v>162</v>
      </c>
      <c r="E44" s="43">
        <v>30000000</v>
      </c>
      <c r="F44" s="38" t="b">
        <f>TRUE()</f>
        <v>1</v>
      </c>
      <c r="G44" s="44">
        <f t="shared" si="3"/>
        <v>30000000</v>
      </c>
    </row>
    <row r="45" spans="2:7" ht="27.75" customHeight="1">
      <c r="B45" s="63" t="s">
        <v>163</v>
      </c>
      <c r="C45" s="63"/>
      <c r="D45" s="46"/>
      <c r="E45" s="46"/>
      <c r="F45" s="46"/>
      <c r="G45" s="47">
        <f>SUM(G39:G44)</f>
        <v>135000000</v>
      </c>
    </row>
    <row r="47" spans="2:7" ht="27.75" customHeight="1">
      <c r="B47" s="33" t="s">
        <v>14</v>
      </c>
      <c r="C47" s="62" t="s">
        <v>164</v>
      </c>
      <c r="D47" s="62"/>
      <c r="E47" s="62"/>
      <c r="F47" s="62"/>
      <c r="G47" s="62"/>
    </row>
    <row r="48" spans="2:7" ht="36" customHeight="1">
      <c r="B48" s="34" t="s">
        <v>165</v>
      </c>
      <c r="C48" s="35" t="s">
        <v>166</v>
      </c>
      <c r="D48" s="50" t="s">
        <v>167</v>
      </c>
      <c r="E48" s="37">
        <v>30000000</v>
      </c>
      <c r="F48" s="38" t="b">
        <f>TRUE()</f>
        <v>1</v>
      </c>
      <c r="G48" s="39">
        <f>IF(F48=TRUE(),E48,0)</f>
        <v>30000000</v>
      </c>
    </row>
    <row r="49" spans="2:7" ht="36" customHeight="1">
      <c r="B49" s="40" t="s">
        <v>168</v>
      </c>
      <c r="C49" s="45" t="s">
        <v>169</v>
      </c>
      <c r="D49" s="42" t="s">
        <v>170</v>
      </c>
      <c r="E49" s="43">
        <v>45000000</v>
      </c>
      <c r="F49" s="38" t="b">
        <f>FALSE()</f>
        <v>0</v>
      </c>
      <c r="G49" s="44">
        <f>IF(F49=TRUE(),E49,0)</f>
        <v>0</v>
      </c>
    </row>
    <row r="50" spans="2:7" ht="36" customHeight="1">
      <c r="B50" s="34" t="s">
        <v>171</v>
      </c>
      <c r="C50" s="35" t="s">
        <v>172</v>
      </c>
      <c r="D50" s="36" t="s">
        <v>173</v>
      </c>
      <c r="E50" s="37">
        <v>45000000</v>
      </c>
      <c r="F50" s="38" t="b">
        <f>FALSE()</f>
        <v>0</v>
      </c>
      <c r="G50" s="39">
        <f>IF(F50=TRUE(),E50,0)</f>
        <v>0</v>
      </c>
    </row>
    <row r="51" spans="2:7" ht="36" customHeight="1">
      <c r="B51" s="40" t="s">
        <v>174</v>
      </c>
      <c r="C51" s="45" t="s">
        <v>175</v>
      </c>
      <c r="D51" s="42" t="s">
        <v>176</v>
      </c>
      <c r="E51" s="43">
        <v>30000000</v>
      </c>
      <c r="F51" s="38" t="b">
        <f>FALSE()</f>
        <v>0</v>
      </c>
      <c r="G51" s="44">
        <f>IF(F51=TRUE(),E51,0)</f>
        <v>0</v>
      </c>
    </row>
    <row r="52" spans="2:7" ht="36" customHeight="1">
      <c r="B52" s="34" t="s">
        <v>177</v>
      </c>
      <c r="C52" s="35" t="s">
        <v>178</v>
      </c>
      <c r="D52" s="36" t="s">
        <v>179</v>
      </c>
      <c r="E52" s="37">
        <v>30000000</v>
      </c>
      <c r="F52" s="38" t="b">
        <f>FALSE()</f>
        <v>0</v>
      </c>
      <c r="G52" s="39">
        <f>IF(F52=TRUE(),E52,0)</f>
        <v>0</v>
      </c>
    </row>
    <row r="53" spans="2:7" ht="27.75" customHeight="1">
      <c r="B53" s="63" t="s">
        <v>180</v>
      </c>
      <c r="C53" s="63"/>
      <c r="D53" s="46"/>
      <c r="E53" s="46"/>
      <c r="F53" s="46"/>
      <c r="G53" s="47">
        <f>SUM(G48:G52)</f>
        <v>30000000</v>
      </c>
    </row>
    <row r="55" spans="2:7" ht="27.75" customHeight="1">
      <c r="B55" s="33" t="s">
        <v>36</v>
      </c>
      <c r="C55" s="62" t="s">
        <v>181</v>
      </c>
      <c r="D55" s="62"/>
      <c r="E55" s="62"/>
      <c r="F55" s="62"/>
      <c r="G55" s="62"/>
    </row>
    <row r="56" spans="2:7" ht="36" customHeight="1">
      <c r="B56" s="34" t="s">
        <v>182</v>
      </c>
      <c r="C56" s="35" t="s">
        <v>183</v>
      </c>
      <c r="D56" s="36" t="s">
        <v>184</v>
      </c>
      <c r="E56" s="37">
        <v>45000000</v>
      </c>
      <c r="F56" s="38" t="b">
        <f>TRUE()</f>
        <v>1</v>
      </c>
      <c r="G56" s="39">
        <f t="shared" ref="G56:G61" si="4">IF(F56=TRUE(),E56,0)</f>
        <v>45000000</v>
      </c>
    </row>
    <row r="57" spans="2:7" ht="36" customHeight="1">
      <c r="B57" s="40" t="s">
        <v>185</v>
      </c>
      <c r="C57" s="45" t="s">
        <v>186</v>
      </c>
      <c r="D57" s="42" t="s">
        <v>187</v>
      </c>
      <c r="E57" s="43">
        <v>30000000</v>
      </c>
      <c r="F57" s="38" t="b">
        <f>FALSE()</f>
        <v>0</v>
      </c>
      <c r="G57" s="44">
        <f t="shared" si="4"/>
        <v>0</v>
      </c>
    </row>
    <row r="58" spans="2:7" ht="36" customHeight="1">
      <c r="B58" s="34" t="s">
        <v>188</v>
      </c>
      <c r="C58" s="35" t="s">
        <v>189</v>
      </c>
      <c r="D58" s="36" t="s">
        <v>190</v>
      </c>
      <c r="E58" s="37">
        <v>45000000</v>
      </c>
      <c r="F58" s="38" t="b">
        <f>TRUE()</f>
        <v>1</v>
      </c>
      <c r="G58" s="39">
        <f t="shared" si="4"/>
        <v>45000000</v>
      </c>
    </row>
    <row r="59" spans="2:7" ht="36" customHeight="1">
      <c r="B59" s="40" t="s">
        <v>191</v>
      </c>
      <c r="C59" s="45" t="s">
        <v>192</v>
      </c>
      <c r="D59" s="42" t="s">
        <v>193</v>
      </c>
      <c r="E59" s="43">
        <v>30000000</v>
      </c>
      <c r="F59" s="38" t="b">
        <f>TRUE()</f>
        <v>1</v>
      </c>
      <c r="G59" s="44">
        <f t="shared" si="4"/>
        <v>30000000</v>
      </c>
    </row>
    <row r="60" spans="2:7" ht="36" customHeight="1">
      <c r="B60" s="34" t="s">
        <v>194</v>
      </c>
      <c r="C60" s="35" t="s">
        <v>195</v>
      </c>
      <c r="D60" s="36" t="s">
        <v>196</v>
      </c>
      <c r="E60" s="37">
        <v>30000000</v>
      </c>
      <c r="F60" s="38" t="b">
        <f>FALSE()</f>
        <v>0</v>
      </c>
      <c r="G60" s="39">
        <f t="shared" si="4"/>
        <v>0</v>
      </c>
    </row>
    <row r="61" spans="2:7" ht="36" customHeight="1">
      <c r="B61" s="40" t="s">
        <v>197</v>
      </c>
      <c r="C61" s="45" t="s">
        <v>198</v>
      </c>
      <c r="D61" s="42" t="s">
        <v>199</v>
      </c>
      <c r="E61" s="43">
        <v>45000000</v>
      </c>
      <c r="F61" s="38" t="b">
        <f>FALSE()</f>
        <v>0</v>
      </c>
      <c r="G61" s="44">
        <f t="shared" si="4"/>
        <v>0</v>
      </c>
    </row>
    <row r="62" spans="2:7" ht="27.75" customHeight="1">
      <c r="B62" s="63" t="s">
        <v>200</v>
      </c>
      <c r="C62" s="63"/>
      <c r="D62" s="46"/>
      <c r="E62" s="46"/>
      <c r="F62" s="46"/>
      <c r="G62" s="47">
        <f>SUM(G56:G61)</f>
        <v>120000000</v>
      </c>
    </row>
    <row r="64" spans="2:7" ht="27.75" customHeight="1">
      <c r="B64" s="33" t="s">
        <v>40</v>
      </c>
      <c r="C64" s="62" t="s">
        <v>201</v>
      </c>
      <c r="D64" s="62"/>
      <c r="E64" s="62"/>
      <c r="F64" s="62"/>
      <c r="G64" s="62"/>
    </row>
    <row r="65" spans="2:7" ht="36" customHeight="1">
      <c r="B65" s="34" t="s">
        <v>202</v>
      </c>
      <c r="C65" s="35" t="s">
        <v>203</v>
      </c>
      <c r="D65" s="36" t="s">
        <v>204</v>
      </c>
      <c r="E65" s="37">
        <v>30000000</v>
      </c>
      <c r="F65" s="38" t="b">
        <f>FALSE()</f>
        <v>0</v>
      </c>
      <c r="G65" s="39">
        <f>IF(F65=TRUE(),E65,0)</f>
        <v>0</v>
      </c>
    </row>
    <row r="66" spans="2:7" ht="36" customHeight="1">
      <c r="B66" s="40" t="s">
        <v>205</v>
      </c>
      <c r="C66" s="45" t="s">
        <v>206</v>
      </c>
      <c r="D66" s="42" t="s">
        <v>207</v>
      </c>
      <c r="E66" s="43">
        <v>45000000</v>
      </c>
      <c r="F66" s="38" t="b">
        <f>FALSE()</f>
        <v>0</v>
      </c>
      <c r="G66" s="44">
        <f>IF(F66=TRUE(),E66,0)</f>
        <v>0</v>
      </c>
    </row>
    <row r="67" spans="2:7" ht="36" customHeight="1">
      <c r="B67" s="34" t="s">
        <v>208</v>
      </c>
      <c r="C67" s="35" t="s">
        <v>209</v>
      </c>
      <c r="D67" s="36" t="s">
        <v>210</v>
      </c>
      <c r="E67" s="37">
        <v>45000000</v>
      </c>
      <c r="F67" s="38" t="b">
        <f>FALSE()</f>
        <v>0</v>
      </c>
      <c r="G67" s="39">
        <f>IF(F67=TRUE(),E67,0)</f>
        <v>0</v>
      </c>
    </row>
    <row r="68" spans="2:7" ht="36" customHeight="1">
      <c r="B68" s="40" t="s">
        <v>211</v>
      </c>
      <c r="C68" s="45" t="s">
        <v>212</v>
      </c>
      <c r="D68" s="42" t="s">
        <v>213</v>
      </c>
      <c r="E68" s="43">
        <v>30000000</v>
      </c>
      <c r="F68" s="38" t="b">
        <f>TRUE()</f>
        <v>1</v>
      </c>
      <c r="G68" s="44">
        <f>IF(F68=TRUE(),E68,0)</f>
        <v>30000000</v>
      </c>
    </row>
    <row r="69" spans="2:7" ht="36" customHeight="1">
      <c r="B69" s="34" t="s">
        <v>214</v>
      </c>
      <c r="C69" s="35" t="s">
        <v>215</v>
      </c>
      <c r="D69" s="50" t="s">
        <v>216</v>
      </c>
      <c r="E69" s="37">
        <v>30000000</v>
      </c>
      <c r="F69" s="38" t="b">
        <f>FALSE()</f>
        <v>0</v>
      </c>
      <c r="G69" s="39">
        <f>IF(F69=TRUE(),E69,0)</f>
        <v>0</v>
      </c>
    </row>
    <row r="70" spans="2:7" ht="27.75" customHeight="1">
      <c r="B70" s="63" t="s">
        <v>217</v>
      </c>
      <c r="C70" s="63"/>
      <c r="D70" s="46"/>
      <c r="E70" s="46"/>
      <c r="F70" s="46"/>
      <c r="G70" s="47">
        <f>SUM(G65:G69)</f>
        <v>30000000</v>
      </c>
    </row>
    <row r="72" spans="2:7" ht="27.75" customHeight="1">
      <c r="B72" s="33" t="s">
        <v>44</v>
      </c>
      <c r="C72" s="62" t="s">
        <v>218</v>
      </c>
      <c r="D72" s="62"/>
      <c r="E72" s="62"/>
      <c r="F72" s="62"/>
      <c r="G72" s="62"/>
    </row>
    <row r="73" spans="2:7" ht="36" customHeight="1">
      <c r="B73" s="34" t="s">
        <v>219</v>
      </c>
      <c r="C73" s="35" t="s">
        <v>220</v>
      </c>
      <c r="D73" s="36" t="s">
        <v>221</v>
      </c>
      <c r="E73" s="37">
        <v>30000000</v>
      </c>
      <c r="F73" s="38" t="b">
        <f>TRUE()</f>
        <v>1</v>
      </c>
      <c r="G73" s="39">
        <f>IF(F73=TRUE(),E73,0)</f>
        <v>30000000</v>
      </c>
    </row>
    <row r="74" spans="2:7" ht="36" customHeight="1">
      <c r="B74" s="40" t="s">
        <v>222</v>
      </c>
      <c r="C74" s="45" t="s">
        <v>223</v>
      </c>
      <c r="D74" s="42" t="s">
        <v>224</v>
      </c>
      <c r="E74" s="43">
        <v>30000000</v>
      </c>
      <c r="F74" s="38" t="b">
        <f>FALSE()</f>
        <v>0</v>
      </c>
      <c r="G74" s="44">
        <f>IF(F74=TRUE(),E74,0)</f>
        <v>0</v>
      </c>
    </row>
    <row r="75" spans="2:7" ht="36" customHeight="1">
      <c r="B75" s="34" t="s">
        <v>225</v>
      </c>
      <c r="C75" s="35" t="s">
        <v>226</v>
      </c>
      <c r="D75" s="36" t="s">
        <v>227</v>
      </c>
      <c r="E75" s="37">
        <v>30000000</v>
      </c>
      <c r="F75" s="38" t="b">
        <f>FALSE()</f>
        <v>0</v>
      </c>
      <c r="G75" s="39">
        <f>IF(F75=TRUE(),E75,0)</f>
        <v>0</v>
      </c>
    </row>
    <row r="76" spans="2:7" ht="36" customHeight="1">
      <c r="B76" s="40" t="s">
        <v>228</v>
      </c>
      <c r="C76" s="45" t="s">
        <v>229</v>
      </c>
      <c r="D76" s="42" t="s">
        <v>230</v>
      </c>
      <c r="E76" s="43">
        <v>30000000</v>
      </c>
      <c r="F76" s="38" t="b">
        <f>FALSE()</f>
        <v>0</v>
      </c>
      <c r="G76" s="44">
        <f>IF(F76=TRUE(),E76,0)</f>
        <v>0</v>
      </c>
    </row>
    <row r="77" spans="2:7" ht="36" customHeight="1">
      <c r="B77" s="34" t="s">
        <v>231</v>
      </c>
      <c r="C77" s="35" t="s">
        <v>232</v>
      </c>
      <c r="D77" s="36" t="s">
        <v>233</v>
      </c>
      <c r="E77" s="37">
        <v>45000000</v>
      </c>
      <c r="F77" s="38" t="b">
        <f>FALSE()</f>
        <v>0</v>
      </c>
      <c r="G77" s="39">
        <f>IF(F77=TRUE(),E77,0)</f>
        <v>0</v>
      </c>
    </row>
    <row r="78" spans="2:7" ht="27.75" customHeight="1">
      <c r="B78" s="63" t="s">
        <v>234</v>
      </c>
      <c r="C78" s="63"/>
      <c r="D78" s="46"/>
      <c r="E78" s="46"/>
      <c r="F78" s="46"/>
      <c r="G78" s="47">
        <f>SUM(G73:G77)</f>
        <v>30000000</v>
      </c>
    </row>
    <row r="80" spans="2:7" ht="27.75" customHeight="1">
      <c r="B80" s="33" t="s">
        <v>48</v>
      </c>
      <c r="C80" s="62" t="s">
        <v>235</v>
      </c>
      <c r="D80" s="62"/>
      <c r="E80" s="62"/>
      <c r="F80" s="62"/>
      <c r="G80" s="62"/>
    </row>
    <row r="81" spans="2:7" ht="36" customHeight="1">
      <c r="B81" s="34" t="s">
        <v>236</v>
      </c>
      <c r="C81" s="35" t="s">
        <v>237</v>
      </c>
      <c r="D81" s="36" t="s">
        <v>238</v>
      </c>
      <c r="E81" s="37">
        <v>30000000</v>
      </c>
      <c r="F81" s="38" t="b">
        <f>TRUE()</f>
        <v>1</v>
      </c>
      <c r="G81" s="39">
        <f t="shared" ref="G81:G86" si="5">IF(F81=TRUE(),E81,0)</f>
        <v>30000000</v>
      </c>
    </row>
    <row r="82" spans="2:7" ht="36" customHeight="1">
      <c r="B82" s="40" t="s">
        <v>239</v>
      </c>
      <c r="C82" s="45" t="s">
        <v>240</v>
      </c>
      <c r="D82" s="42" t="s">
        <v>241</v>
      </c>
      <c r="E82" s="43">
        <v>30000000</v>
      </c>
      <c r="F82" s="38" t="b">
        <f>FALSE()</f>
        <v>0</v>
      </c>
      <c r="G82" s="44">
        <f t="shared" si="5"/>
        <v>0</v>
      </c>
    </row>
    <row r="83" spans="2:7" ht="36" customHeight="1">
      <c r="B83" s="34" t="s">
        <v>242</v>
      </c>
      <c r="C83" s="35" t="s">
        <v>243</v>
      </c>
      <c r="D83" s="36" t="s">
        <v>244</v>
      </c>
      <c r="E83" s="37">
        <v>30000000</v>
      </c>
      <c r="F83" s="38" t="b">
        <f>FALSE()</f>
        <v>0</v>
      </c>
      <c r="G83" s="39">
        <f t="shared" si="5"/>
        <v>0</v>
      </c>
    </row>
    <row r="84" spans="2:7" ht="36" customHeight="1">
      <c r="B84" s="40" t="s">
        <v>245</v>
      </c>
      <c r="C84" s="45" t="s">
        <v>246</v>
      </c>
      <c r="D84" s="42" t="s">
        <v>247</v>
      </c>
      <c r="E84" s="43">
        <v>30000000</v>
      </c>
      <c r="F84" s="38" t="b">
        <f>TRUE()</f>
        <v>1</v>
      </c>
      <c r="G84" s="44">
        <f t="shared" si="5"/>
        <v>30000000</v>
      </c>
    </row>
    <row r="85" spans="2:7" ht="36" customHeight="1">
      <c r="B85" s="34" t="s">
        <v>248</v>
      </c>
      <c r="C85" s="35" t="s">
        <v>249</v>
      </c>
      <c r="D85" s="36" t="s">
        <v>250</v>
      </c>
      <c r="E85" s="37">
        <v>30000000</v>
      </c>
      <c r="F85" s="38" t="b">
        <f>FALSE()</f>
        <v>0</v>
      </c>
      <c r="G85" s="39">
        <f t="shared" si="5"/>
        <v>0</v>
      </c>
    </row>
    <row r="86" spans="2:7" ht="36" customHeight="1">
      <c r="B86" s="40" t="s">
        <v>251</v>
      </c>
      <c r="C86" s="45" t="s">
        <v>252</v>
      </c>
      <c r="D86" s="42" t="s">
        <v>253</v>
      </c>
      <c r="E86" s="43">
        <v>30000000</v>
      </c>
      <c r="F86" s="38" t="b">
        <f>FALSE()</f>
        <v>0</v>
      </c>
      <c r="G86" s="44">
        <f t="shared" si="5"/>
        <v>0</v>
      </c>
    </row>
    <row r="87" spans="2:7" ht="27.75" customHeight="1">
      <c r="B87" s="63" t="s">
        <v>254</v>
      </c>
      <c r="C87" s="63"/>
      <c r="D87" s="46"/>
      <c r="E87" s="46"/>
      <c r="F87" s="46"/>
      <c r="G87" s="47">
        <f>SUM(G81:G86)</f>
        <v>60000000</v>
      </c>
    </row>
    <row r="89" spans="2:7" ht="27.75" customHeight="1">
      <c r="B89" s="33" t="s">
        <v>52</v>
      </c>
      <c r="C89" s="62" t="s">
        <v>255</v>
      </c>
      <c r="D89" s="62"/>
      <c r="E89" s="62"/>
      <c r="F89" s="62"/>
      <c r="G89" s="62"/>
    </row>
    <row r="90" spans="2:7" ht="36" customHeight="1">
      <c r="B90" s="34" t="s">
        <v>256</v>
      </c>
      <c r="C90" s="35" t="s">
        <v>257</v>
      </c>
      <c r="D90" s="36" t="s">
        <v>258</v>
      </c>
      <c r="E90" s="37">
        <v>45000000</v>
      </c>
      <c r="F90" s="38" t="b">
        <f>FALSE()</f>
        <v>0</v>
      </c>
      <c r="G90" s="39">
        <f>IF(F90=TRUE(),E90,0)</f>
        <v>0</v>
      </c>
    </row>
    <row r="91" spans="2:7" ht="36" customHeight="1">
      <c r="B91" s="40" t="s">
        <v>259</v>
      </c>
      <c r="C91" s="45" t="s">
        <v>260</v>
      </c>
      <c r="D91" s="42" t="s">
        <v>261</v>
      </c>
      <c r="E91" s="43">
        <v>45000000</v>
      </c>
      <c r="F91" s="38" t="b">
        <f>FALSE()</f>
        <v>0</v>
      </c>
      <c r="G91" s="44">
        <f>IF(F91=TRUE(),E91,0)</f>
        <v>0</v>
      </c>
    </row>
    <row r="92" spans="2:7" ht="36" customHeight="1">
      <c r="B92" s="34" t="s">
        <v>262</v>
      </c>
      <c r="C92" s="35" t="s">
        <v>263</v>
      </c>
      <c r="D92" s="36" t="s">
        <v>264</v>
      </c>
      <c r="E92" s="37">
        <v>30000000</v>
      </c>
      <c r="F92" s="38" t="b">
        <f>TRUE()</f>
        <v>1</v>
      </c>
      <c r="G92" s="39">
        <f>IF(F92=TRUE(),E92,0)</f>
        <v>30000000</v>
      </c>
    </row>
    <row r="93" spans="2:7" ht="36" customHeight="1">
      <c r="B93" s="40" t="s">
        <v>265</v>
      </c>
      <c r="C93" s="45" t="s">
        <v>266</v>
      </c>
      <c r="D93" s="42" t="s">
        <v>267</v>
      </c>
      <c r="E93" s="43">
        <v>45000000</v>
      </c>
      <c r="F93" s="38" t="b">
        <f>FALSE()</f>
        <v>0</v>
      </c>
      <c r="G93" s="44">
        <f>IF(F93=TRUE(),E93,0)</f>
        <v>0</v>
      </c>
    </row>
    <row r="94" spans="2:7" ht="36" customHeight="1">
      <c r="B94" s="34" t="s">
        <v>268</v>
      </c>
      <c r="C94" s="48" t="s">
        <v>269</v>
      </c>
      <c r="D94" s="36" t="s">
        <v>270</v>
      </c>
      <c r="E94" s="37">
        <v>30000000</v>
      </c>
      <c r="F94" s="38" t="b">
        <f>FALSE()</f>
        <v>0</v>
      </c>
      <c r="G94" s="39">
        <f>IF(F94=TRUE(),E94,0)</f>
        <v>0</v>
      </c>
    </row>
    <row r="95" spans="2:7" ht="27.75" customHeight="1">
      <c r="B95" s="63" t="s">
        <v>271</v>
      </c>
      <c r="C95" s="63"/>
      <c r="D95" s="46"/>
      <c r="E95" s="46"/>
      <c r="F95" s="46"/>
      <c r="G95" s="47">
        <f>SUM(G90:G94)</f>
        <v>30000000</v>
      </c>
    </row>
    <row r="98" spans="2:7" ht="37.5" customHeight="1">
      <c r="B98" s="64" t="s">
        <v>272</v>
      </c>
      <c r="C98" s="64"/>
      <c r="D98" s="64"/>
      <c r="E98" s="64"/>
      <c r="F98" s="64"/>
      <c r="G98" s="51">
        <f>G16+G27+G36+G45+G53+G62+G70+G78+G87+G95</f>
        <v>840000000</v>
      </c>
    </row>
  </sheetData>
  <mergeCells count="23">
    <mergeCell ref="C89:G89"/>
    <mergeCell ref="B95:C95"/>
    <mergeCell ref="B98:F98"/>
    <mergeCell ref="B70:C70"/>
    <mergeCell ref="C72:G72"/>
    <mergeCell ref="B78:C78"/>
    <mergeCell ref="C80:G80"/>
    <mergeCell ref="B87:C87"/>
    <mergeCell ref="C47:G47"/>
    <mergeCell ref="B53:C53"/>
    <mergeCell ref="C55:G55"/>
    <mergeCell ref="B62:C62"/>
    <mergeCell ref="C64:G64"/>
    <mergeCell ref="B27:C27"/>
    <mergeCell ref="C29:G29"/>
    <mergeCell ref="B36:C36"/>
    <mergeCell ref="C38:G38"/>
    <mergeCell ref="B45:C45"/>
    <mergeCell ref="B4:H4"/>
    <mergeCell ref="B5:H5"/>
    <mergeCell ref="C8:G8"/>
    <mergeCell ref="B16:C16"/>
    <mergeCell ref="C18:G18"/>
  </mergeCells>
  <phoneticPr fontId="45" type="noConversion"/>
  <dataValidations count="1">
    <dataValidation type="list" errorTitle="잘못된 입력" error="TRUE 또는 FALSE만 입력 가능합니다" sqref="F9:F15 F19:F26 F30:F35 F39:F44 F48:F52 F56:F61 F65:F69 F73:F77 F81:F86 F90:F94" xr:uid="{00000000-0002-0000-0300-000000000000}">
      <formula1>"TRUE,FALSE"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20"/>
  <sheetViews>
    <sheetView zoomScaleNormal="100" workbookViewId="0">
      <pane ySplit="7" topLeftCell="A8" activePane="bottomLeft" state="frozen"/>
      <selection pane="bottomLeft"/>
    </sheetView>
  </sheetViews>
  <sheetFormatPr baseColWidth="10" defaultColWidth="8.6640625" defaultRowHeight="15"/>
  <cols>
    <col min="1" max="1" width="2" customWidth="1"/>
    <col min="2" max="2" width="6" customWidth="1"/>
    <col min="3" max="3" width="32" customWidth="1"/>
    <col min="4" max="6" width="22" customWidth="1"/>
    <col min="7" max="7" width="16" customWidth="1"/>
  </cols>
  <sheetData>
    <row r="2" spans="2:7" ht="3.75" customHeight="1">
      <c r="B2" s="15"/>
      <c r="C2" s="15"/>
      <c r="D2" s="15"/>
      <c r="E2" s="15"/>
      <c r="F2" s="15"/>
      <c r="G2" s="15"/>
    </row>
    <row r="4" spans="2:7" ht="31.5" customHeight="1">
      <c r="B4" s="1" t="s">
        <v>277</v>
      </c>
      <c r="C4" s="1"/>
      <c r="D4" s="1"/>
      <c r="E4" s="1"/>
      <c r="F4" s="1"/>
      <c r="G4" s="1"/>
    </row>
    <row r="5" spans="2:7" ht="19.5" customHeight="1">
      <c r="B5" s="12" t="s">
        <v>278</v>
      </c>
      <c r="C5" s="12"/>
      <c r="D5" s="12"/>
      <c r="E5" s="12"/>
      <c r="F5" s="12"/>
      <c r="G5" s="12"/>
    </row>
    <row r="7" spans="2:7" ht="30" customHeight="1">
      <c r="B7" s="52" t="s">
        <v>17</v>
      </c>
      <c r="C7" s="32" t="s">
        <v>18</v>
      </c>
      <c r="D7" s="52" t="s">
        <v>279</v>
      </c>
      <c r="E7" s="52" t="s">
        <v>280</v>
      </c>
      <c r="F7" s="52" t="s">
        <v>281</v>
      </c>
      <c r="G7" s="52" t="s">
        <v>282</v>
      </c>
    </row>
    <row r="8" spans="2:7" ht="25.5" customHeight="1">
      <c r="B8" s="53" t="s">
        <v>6</v>
      </c>
      <c r="C8" s="54" t="s">
        <v>21</v>
      </c>
      <c r="D8" s="55">
        <f>Street!G16</f>
        <v>55000000</v>
      </c>
      <c r="E8" s="55">
        <f>Town!G16</f>
        <v>93500000</v>
      </c>
      <c r="F8" s="55">
        <f>City!G16</f>
        <v>165000000</v>
      </c>
      <c r="G8" s="56">
        <f>IFERROR(D8/D18, 0)</f>
        <v>0.19642857142857142</v>
      </c>
    </row>
    <row r="9" spans="2:7" ht="25.5" customHeight="1">
      <c r="B9" s="53" t="s">
        <v>8</v>
      </c>
      <c r="C9" s="57" t="s">
        <v>24</v>
      </c>
      <c r="D9" s="58">
        <f>Street!G27</f>
        <v>40000000</v>
      </c>
      <c r="E9" s="58">
        <f>Town!G27</f>
        <v>68000000</v>
      </c>
      <c r="F9" s="58">
        <f>City!G27</f>
        <v>120000000</v>
      </c>
      <c r="G9" s="59">
        <f>IFERROR(D9/D18, 0)</f>
        <v>0.14285714285714285</v>
      </c>
    </row>
    <row r="10" spans="2:7" ht="25.5" customHeight="1">
      <c r="B10" s="53" t="s">
        <v>10</v>
      </c>
      <c r="C10" s="54" t="s">
        <v>27</v>
      </c>
      <c r="D10" s="55">
        <f>Street!G36</f>
        <v>40000000</v>
      </c>
      <c r="E10" s="55">
        <f>Town!G36</f>
        <v>68000000</v>
      </c>
      <c r="F10" s="55">
        <f>City!G36</f>
        <v>120000000</v>
      </c>
      <c r="G10" s="56">
        <f>IFERROR(D10/D18, 0)</f>
        <v>0.14285714285714285</v>
      </c>
    </row>
    <row r="11" spans="2:7" ht="25.5" customHeight="1">
      <c r="B11" s="53" t="s">
        <v>12</v>
      </c>
      <c r="C11" s="57" t="s">
        <v>283</v>
      </c>
      <c r="D11" s="58">
        <f>Street!G45</f>
        <v>45000000</v>
      </c>
      <c r="E11" s="58">
        <f>Town!G45</f>
        <v>76500000</v>
      </c>
      <c r="F11" s="58">
        <f>City!G45</f>
        <v>135000000</v>
      </c>
      <c r="G11" s="59">
        <f>IFERROR(D11/D18, 0)</f>
        <v>0.16071428571428573</v>
      </c>
    </row>
    <row r="12" spans="2:7" ht="25.5" customHeight="1">
      <c r="B12" s="53" t="s">
        <v>14</v>
      </c>
      <c r="C12" s="54" t="s">
        <v>284</v>
      </c>
      <c r="D12" s="55">
        <f>Street!G53</f>
        <v>10000000</v>
      </c>
      <c r="E12" s="55">
        <f>Town!G53</f>
        <v>17000000</v>
      </c>
      <c r="F12" s="55">
        <f>City!G53</f>
        <v>30000000</v>
      </c>
      <c r="G12" s="56">
        <f>IFERROR(D12/D18, 0)</f>
        <v>3.5714285714285712E-2</v>
      </c>
    </row>
    <row r="13" spans="2:7" ht="25.5" customHeight="1">
      <c r="B13" s="53" t="s">
        <v>36</v>
      </c>
      <c r="C13" s="57" t="s">
        <v>285</v>
      </c>
      <c r="D13" s="58">
        <f>Street!G62</f>
        <v>40000000</v>
      </c>
      <c r="E13" s="58">
        <f>Town!G62</f>
        <v>68000000</v>
      </c>
      <c r="F13" s="58">
        <f>City!G62</f>
        <v>120000000</v>
      </c>
      <c r="G13" s="59">
        <f>IFERROR(D13/D18, 0)</f>
        <v>0.14285714285714285</v>
      </c>
    </row>
    <row r="14" spans="2:7" ht="25.5" customHeight="1">
      <c r="B14" s="53" t="s">
        <v>40</v>
      </c>
      <c r="C14" s="54" t="s">
        <v>286</v>
      </c>
      <c r="D14" s="55">
        <f>Street!G70</f>
        <v>10000000</v>
      </c>
      <c r="E14" s="55">
        <f>Town!G70</f>
        <v>17000000</v>
      </c>
      <c r="F14" s="55">
        <f>City!G70</f>
        <v>30000000</v>
      </c>
      <c r="G14" s="56">
        <f>IFERROR(D14/D18, 0)</f>
        <v>3.5714285714285712E-2</v>
      </c>
    </row>
    <row r="15" spans="2:7" ht="25.5" customHeight="1">
      <c r="B15" s="53" t="s">
        <v>44</v>
      </c>
      <c r="C15" s="57" t="s">
        <v>45</v>
      </c>
      <c r="D15" s="58">
        <f>Street!G78</f>
        <v>10000000</v>
      </c>
      <c r="E15" s="58">
        <f>Town!G78</f>
        <v>17000000</v>
      </c>
      <c r="F15" s="58">
        <f>City!G78</f>
        <v>30000000</v>
      </c>
      <c r="G15" s="59">
        <f>IFERROR(D15/D18, 0)</f>
        <v>3.5714285714285712E-2</v>
      </c>
    </row>
    <row r="16" spans="2:7" ht="25.5" customHeight="1">
      <c r="B16" s="53" t="s">
        <v>48</v>
      </c>
      <c r="C16" s="54" t="s">
        <v>287</v>
      </c>
      <c r="D16" s="55">
        <f>Street!G87</f>
        <v>20000000</v>
      </c>
      <c r="E16" s="55">
        <f>Town!G87</f>
        <v>34000000</v>
      </c>
      <c r="F16" s="55">
        <f>City!G87</f>
        <v>60000000</v>
      </c>
      <c r="G16" s="56">
        <f>IFERROR(D16/D18, 0)</f>
        <v>7.1428571428571425E-2</v>
      </c>
    </row>
    <row r="17" spans="2:7" ht="25.5" customHeight="1">
      <c r="B17" s="53" t="s">
        <v>52</v>
      </c>
      <c r="C17" s="57" t="s">
        <v>288</v>
      </c>
      <c r="D17" s="58">
        <f>Street!G95</f>
        <v>10000000</v>
      </c>
      <c r="E17" s="58">
        <f>Town!G95</f>
        <v>17000000</v>
      </c>
      <c r="F17" s="58">
        <f>City!G95</f>
        <v>30000000</v>
      </c>
      <c r="G17" s="59">
        <f>IFERROR(D17/D18, 0)</f>
        <v>3.5714285714285712E-2</v>
      </c>
    </row>
    <row r="18" spans="2:7" ht="33.75" customHeight="1">
      <c r="B18" s="65" t="s">
        <v>272</v>
      </c>
      <c r="C18" s="65"/>
      <c r="D18" s="60">
        <f>Street!G98</f>
        <v>280000000</v>
      </c>
      <c r="E18" s="60">
        <f>Town!G98</f>
        <v>476000000</v>
      </c>
      <c r="F18" s="60">
        <f>City!G98</f>
        <v>840000000</v>
      </c>
      <c r="G18" s="61" t="s">
        <v>289</v>
      </c>
    </row>
    <row r="20" spans="2:7">
      <c r="B20" s="2" t="s">
        <v>290</v>
      </c>
      <c r="C20" s="2"/>
      <c r="D20" s="2"/>
      <c r="E20" s="2"/>
      <c r="F20" s="2"/>
      <c r="G20" s="2"/>
    </row>
  </sheetData>
  <mergeCells count="4">
    <mergeCell ref="B4:G4"/>
    <mergeCell ref="B5:G5"/>
    <mergeCell ref="B18:C18"/>
    <mergeCell ref="B20:G20"/>
  </mergeCells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개요</vt:lpstr>
      <vt:lpstr>Street</vt:lpstr>
      <vt:lpstr>Town</vt:lpstr>
      <vt:lpstr>City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김경석</cp:lastModifiedBy>
  <cp:revision>0</cp:revision>
  <dcterms:created xsi:type="dcterms:W3CDTF">2026-05-24T20:08:44Z</dcterms:created>
  <dcterms:modified xsi:type="dcterms:W3CDTF">2026-05-25T05:55:15Z</dcterms:modified>
  <dc:language>en-US</dc:language>
</cp:coreProperties>
</file>