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hyungjin/Downloads/"/>
    </mc:Choice>
  </mc:AlternateContent>
  <xr:revisionPtr revIDLastSave="0" documentId="13_ncr:1_{88FC9FC6-1E5E-9843-A291-4573A5AE7FFA}" xr6:coauthVersionLast="47" xr6:coauthVersionMax="47" xr10:uidLastSave="{00000000-0000-0000-0000-000000000000}"/>
  <bookViews>
    <workbookView xWindow="18560" yWindow="860" windowWidth="22560" windowHeight="25720" tabRatio="500" xr2:uid="{00000000-000D-0000-FFFF-FFFF00000000}"/>
  </bookViews>
  <sheets>
    <sheet name="개요" sheetId="1" r:id="rId1"/>
    <sheet name="거리" sheetId="2" r:id="rId2"/>
    <sheet name="권역" sheetId="3" r:id="rId3"/>
    <sheet name="광역" sheetId="4" r:id="rId4"/>
    <sheet name="요약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1" i="4" l="1"/>
  <c r="F18" i="5" s="1"/>
  <c r="E84" i="4"/>
  <c r="F17" i="5" s="1"/>
  <c r="E77" i="4"/>
  <c r="F16" i="5" s="1"/>
  <c r="E68" i="4"/>
  <c r="F15" i="5" s="1"/>
  <c r="E61" i="4"/>
  <c r="F14" i="5" s="1"/>
  <c r="E52" i="4"/>
  <c r="F13" i="5" s="1"/>
  <c r="E45" i="4"/>
  <c r="F12" i="5" s="1"/>
  <c r="E37" i="4"/>
  <c r="F11" i="5" s="1"/>
  <c r="E29" i="4"/>
  <c r="F10" i="5" s="1"/>
  <c r="E18" i="4"/>
  <c r="F9" i="5" s="1"/>
  <c r="E8" i="4"/>
  <c r="F8" i="5" s="1"/>
  <c r="E91" i="3"/>
  <c r="E18" i="5" s="1"/>
  <c r="E84" i="3"/>
  <c r="E17" i="5" s="1"/>
  <c r="E77" i="3"/>
  <c r="E16" i="5" s="1"/>
  <c r="E68" i="3"/>
  <c r="E15" i="5" s="1"/>
  <c r="E61" i="3"/>
  <c r="E14" i="5" s="1"/>
  <c r="E52" i="3"/>
  <c r="E13" i="5" s="1"/>
  <c r="E45" i="3"/>
  <c r="E12" i="5" s="1"/>
  <c r="E37" i="3"/>
  <c r="E11" i="5" s="1"/>
  <c r="E29" i="3"/>
  <c r="E10" i="5" s="1"/>
  <c r="E18" i="3"/>
  <c r="E9" i="5" s="1"/>
  <c r="E8" i="3"/>
  <c r="E8" i="5" s="1"/>
  <c r="E91" i="2"/>
  <c r="D18" i="5" s="1"/>
  <c r="E84" i="2"/>
  <c r="D17" i="5" s="1"/>
  <c r="E77" i="2"/>
  <c r="D16" i="5" s="1"/>
  <c r="E68" i="2"/>
  <c r="D15" i="5" s="1"/>
  <c r="E61" i="2"/>
  <c r="D14" i="5" s="1"/>
  <c r="E52" i="2"/>
  <c r="D13" i="5" s="1"/>
  <c r="E45" i="2"/>
  <c r="D12" i="5" s="1"/>
  <c r="E37" i="2"/>
  <c r="D11" i="5" s="1"/>
  <c r="E29" i="2"/>
  <c r="D10" i="5" s="1"/>
  <c r="E18" i="2"/>
  <c r="D9" i="5" s="1"/>
  <c r="E8" i="2"/>
  <c r="D8" i="5" s="1"/>
  <c r="E100" i="2" l="1"/>
  <c r="D19" i="5" s="1"/>
  <c r="G9" i="5" s="1"/>
  <c r="E100" i="3"/>
  <c r="E19" i="5" s="1"/>
  <c r="E100" i="4"/>
  <c r="F19" i="5" s="1"/>
  <c r="G16" i="5" l="1"/>
  <c r="G15" i="5"/>
  <c r="G13" i="5"/>
  <c r="G12" i="5"/>
  <c r="G11" i="5"/>
  <c r="G8" i="5"/>
  <c r="G18" i="5"/>
  <c r="G17" i="5"/>
  <c r="G14" i="5"/>
  <c r="G10" i="5"/>
</calcChain>
</file>

<file path=xl/sharedStrings.xml><?xml version="1.0" encoding="utf-8"?>
<sst xmlns="http://schemas.openxmlformats.org/spreadsheetml/2006/main" count="821" uniqueCount="314">
  <si>
    <r>
      <rPr>
        <b/>
        <sz val="20"/>
        <color rgb="FF1A1A1A"/>
        <rFont val="맑은 고딕"/>
        <family val="2"/>
        <charset val="129"/>
      </rPr>
      <t>[</t>
    </r>
    <r>
      <rPr>
        <b/>
        <sz val="20"/>
        <color rgb="FF1A1A1A"/>
        <rFont val="Noto Sans CJK SC"/>
        <family val="2"/>
      </rPr>
      <t>지역명</t>
    </r>
    <r>
      <rPr>
        <b/>
        <sz val="20"/>
        <color rgb="FF1A1A1A"/>
        <rFont val="맑은 고딕"/>
        <family val="2"/>
        <charset val="129"/>
      </rPr>
      <t xml:space="preserve">] </t>
    </r>
    <r>
      <rPr>
        <b/>
        <sz val="20"/>
        <color rgb="FF1A1A1A"/>
        <rFont val="Noto Sans CJK SC"/>
        <family val="2"/>
      </rPr>
      <t>팝업 타운 조성을 통한 상권 활성화 디지털 플랫폼 구축 사업</t>
    </r>
  </si>
  <si>
    <t>통합 견적서 v1.2 (Draft)</t>
  </si>
  <si>
    <t>단위: 원 (₩)   ·   부가세 별도   ·   IT 영역</t>
  </si>
  <si>
    <r>
      <rPr>
        <b/>
        <sz val="14"/>
        <color rgb="FF1A1A1A"/>
        <rFont val="맑은 고딕"/>
        <family val="2"/>
        <charset val="129"/>
      </rPr>
      <t xml:space="preserve">01    </t>
    </r>
    <r>
      <rPr>
        <b/>
        <sz val="14"/>
        <color rgb="FF1A1A1A"/>
        <rFont val="Noto Sans CJK SC"/>
        <family val="2"/>
      </rPr>
      <t>사업 개요</t>
    </r>
  </si>
  <si>
    <t>지역 골목 공실은 단순히 한 점포의 문제가 아니다. 한국부동산원에 따르면 2025년 3분기 전국 중대형 상가 공실률은 13.6%, 비수도권 1층 상가 공실률은 전국 평균을 크게 웃돈다. 그동안의 다양한 활성화 시도들이 단기 효과에 그쳤던 이유는 사람들이 다시 찾아오는 지속가능한 운영 구조를 만들지 못했기 때문이고, 그 본질은 공간마다 그 동네만의 고유성과 이야기가 충분히 담기지 않았기 때문이다.</t>
  </si>
  <si>
    <t>본 사업은 각 동네의 이야기를 콘텐츠로 담아 사람들이 일부러 찾아오고 싶은 공간을 조성하고, 이를 진입 장벽이 낮은 단기 팝업 형태로 풀어내 임대인·청년 창작자·시민이 모두 부담 없이 참여할 수 있게 한다. 본 견적서는 11개 솔루션 카테고리로 구성되며, 각 솔루션은 독립적으로 도입·계약 가능하다. 단계별 시트(거리 / 권역 / 광역)에서 단계별 단가가 확장되며, 각 카테고리 헤더 행에 카테고리 합계가, 시트 하단에 총합계가 자동 산정된다.</t>
  </si>
  <si>
    <r>
      <rPr>
        <b/>
        <sz val="14"/>
        <color rgb="FF1A1A1A"/>
        <rFont val="맑은 고딕"/>
        <family val="2"/>
        <charset val="129"/>
      </rPr>
      <t xml:space="preserve">02    </t>
    </r>
    <r>
      <rPr>
        <b/>
        <sz val="14"/>
        <color rgb="FF1A1A1A"/>
        <rFont val="Noto Sans CJK SC"/>
        <family val="2"/>
      </rPr>
      <t>사용 방법</t>
    </r>
  </si>
  <si>
    <t>1</t>
  </si>
  <si>
    <t>단계별 시트(Street / Town / City)를 펼친다. 각 단계마다 단가 배수가 다르다 (×1.0 / ×1.7 / ×3.0).</t>
  </si>
  <si>
    <t>2</t>
  </si>
  <si>
    <t>각 카테고리 헤더 행에 카테고리 합계가 자동 표시되며, 시트 하단에 단계별 총합계가 산정된다.</t>
  </si>
  <si>
    <t>3</t>
  </si>
  <si>
    <r>
      <rPr>
        <sz val="10.5"/>
        <color rgb="FF1A1A1A"/>
        <rFont val="맑은 고딕"/>
        <family val="2"/>
        <charset val="129"/>
      </rPr>
      <t>[</t>
    </r>
    <r>
      <rPr>
        <sz val="10.5"/>
        <color rgb="FF1A1A1A"/>
        <rFont val="Noto Sans CJK SC"/>
        <family val="2"/>
      </rPr>
      <t>요약</t>
    </r>
    <r>
      <rPr>
        <sz val="10.5"/>
        <color rgb="FF1A1A1A"/>
        <rFont val="맑은 고딕"/>
        <family val="2"/>
        <charset val="129"/>
      </rPr>
      <t xml:space="preserve">] </t>
    </r>
    <r>
      <rPr>
        <sz val="10.5"/>
        <color rgb="FF1A1A1A"/>
        <rFont val="Noto Sans CJK SC"/>
        <family val="2"/>
      </rPr>
      <t>시트에서 단계별</t>
    </r>
    <r>
      <rPr>
        <sz val="10.5"/>
        <color rgb="FF1A1A1A"/>
        <rFont val="맑은 고딕"/>
        <family val="2"/>
        <charset val="129"/>
      </rPr>
      <t>·</t>
    </r>
    <r>
      <rPr>
        <sz val="10.5"/>
        <color rgb="FF1A1A1A"/>
        <rFont val="Noto Sans CJK SC"/>
        <family val="2"/>
      </rPr>
      <t>카테고리별 견적을 한눈에 비교할 수 있다</t>
    </r>
    <r>
      <rPr>
        <sz val="10.5"/>
        <color rgb="FF1A1A1A"/>
        <rFont val="맑은 고딕"/>
        <family val="2"/>
        <charset val="129"/>
      </rPr>
      <t>.</t>
    </r>
  </si>
  <si>
    <t>4</t>
  </si>
  <si>
    <t>솔루션 단가는 각 단계 시트에서 자유롭게 수정 가능하며, 카테고리 합계와 총합계가 자동 갱신된다.</t>
  </si>
  <si>
    <t>5</t>
  </si>
  <si>
    <t>다른 도시에 적용할 때는 본 파일을 복사한 후 단가만 조정하면 그대로 템플릿 재활용 가능하다.</t>
  </si>
  <si>
    <r>
      <rPr>
        <b/>
        <sz val="14"/>
        <color rgb="FF1A1A1A"/>
        <rFont val="맑은 고딕"/>
        <family val="2"/>
        <charset val="129"/>
      </rPr>
      <t xml:space="preserve">03    </t>
    </r>
    <r>
      <rPr>
        <b/>
        <sz val="14"/>
        <color rgb="FF1A1A1A"/>
        <rFont val="Noto Sans CJK SC"/>
        <family val="2"/>
      </rPr>
      <t xml:space="preserve">솔루션 카테고리 </t>
    </r>
    <r>
      <rPr>
        <b/>
        <sz val="14"/>
        <color rgb="FF1A1A1A"/>
        <rFont val="맑은 고딕"/>
        <family val="2"/>
        <charset val="129"/>
      </rPr>
      <t>(10</t>
    </r>
    <r>
      <rPr>
        <b/>
        <sz val="14"/>
        <color rgb="FF1A1A1A"/>
        <rFont val="Noto Sans CJK SC"/>
        <family val="2"/>
      </rPr>
      <t>개</t>
    </r>
    <r>
      <rPr>
        <b/>
        <sz val="14"/>
        <color rgb="FF1A1A1A"/>
        <rFont val="맑은 고딕"/>
        <family val="2"/>
        <charset val="129"/>
      </rPr>
      <t>)</t>
    </r>
  </si>
  <si>
    <t>#</t>
  </si>
  <si>
    <t>카테고리</t>
  </si>
  <si>
    <t>테마</t>
  </si>
  <si>
    <t>한 줄 소개</t>
  </si>
  <si>
    <t>공간</t>
  </si>
  <si>
    <t>공실의 단기임대 활성화 / 청년의 무대, 지속가능한 팝업타운</t>
  </si>
  <si>
    <t>지역 공실을 청년·창작자의 단기 팝업 무대로 전환하고, 동네 이야기와 결합해 지속가능한 팝업타운을 조성하는 핵심 인프라.</t>
  </si>
  <si>
    <t>아이템</t>
  </si>
  <si>
    <t>청년 아이템·특산물의 시장 검증</t>
  </si>
  <si>
    <t>청년 크리에이터·특산물 생산자가 좋은 상품을 도시 소비자에게 부담 없이 검증할 수 있는 IT 자산. AI 매장 운영 도구로 작은 브랜드도 전문가급 매장 운영.</t>
  </si>
  <si>
    <t>이벤트</t>
  </si>
  <si>
    <t>페스티벌·야시장·영화제의 디지털 운영</t>
  </si>
  <si>
    <t>야시장·페스티벌·영화제 등 지역 행사를 거리 단위 작은 행사부터 광역 단위 대형 행사까지 동일 인프라로 운영. 운영 효율과 데이터 자산 동시 확보.</t>
  </si>
  <si>
    <t>네트워크·시너지</t>
  </si>
  <si>
    <t>거리 → 권역 → 광역 활성화</t>
  </si>
  <si>
    <t>거리 하나의 성공이 옆 거리, 권역, 광역 전체의 활력으로 누적·확산되는 단계적 모델을 시각화·자동화. 사업이 끝난 뒤에도 디지털 자산이 누적되어 다음 거리·다음 권역의 출발점이 된다.</t>
  </si>
  <si>
    <t>멤버십·지역화폐</t>
  </si>
  <si>
    <r>
      <rPr>
        <i/>
        <sz val="10"/>
        <color rgb="FFFF5A1F"/>
        <rFont val="맑은 고딕"/>
        <family val="2"/>
        <charset val="129"/>
      </rPr>
      <t>1</t>
    </r>
    <r>
      <rPr>
        <i/>
        <sz val="10"/>
        <color rgb="FFFF5A1F"/>
        <rFont val="Noto Sans CJK SC"/>
        <family val="2"/>
      </rPr>
      <t>회 방문자를 도시의 팬으로</t>
    </r>
  </si>
  <si>
    <r>
      <rPr>
        <sz val="10"/>
        <color rgb="FF4A4A4A"/>
        <rFont val="맑은 고딕"/>
        <family val="2"/>
        <charset val="129"/>
      </rPr>
      <t>1</t>
    </r>
    <r>
      <rPr>
        <sz val="10"/>
        <color rgb="FF4A4A4A"/>
        <rFont val="Noto Sans CJK SC"/>
        <family val="2"/>
      </rPr>
      <t>회 방문을 지속 재방문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Noto Sans CJK SC"/>
        <family val="2"/>
      </rPr>
      <t>재구매로 전환하는 인센티브 구조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Noto Sans CJK SC"/>
        <family val="2"/>
      </rPr>
      <t>기존 지자체 지역화폐와 연동해 본 사업의 모든 활동이 지자체 정책 효과 확장으로 이어진다</t>
    </r>
    <r>
      <rPr>
        <sz val="10"/>
        <color rgb="FF4A4A4A"/>
        <rFont val="맑은 고딕"/>
        <family val="2"/>
        <charset val="129"/>
      </rPr>
      <t>.</t>
    </r>
  </si>
  <si>
    <t>6</t>
  </si>
  <si>
    <t>성과 시각화·리포트</t>
  </si>
  <si>
    <t>지자체 정책의 영구적 근거 자산</t>
  </si>
  <si>
    <t>운영 결과 데이터를 표준화된 형태로 시각화·리포트화. 지자체가 정책 효과를 즉시 보고, 향후 정책 결정·학술 연구·민간 협력에 활용.</t>
  </si>
  <si>
    <t>7</t>
  </si>
  <si>
    <t>미션 베이스 인재 매칭</t>
  </si>
  <si>
    <t>지역 청년 유출·소도시 인구 감소 대응</t>
  </si>
  <si>
    <t>일반 시간·임금 위주 구인구직과 달리 비전·미션 기반. 청년이 자기 결을 살려 지역에서 활동할 수 있는 환경을 만들어, 청년 유출과 소도시 인구 감소에 직접 대응.</t>
  </si>
  <si>
    <t>8</t>
  </si>
  <si>
    <t>포용성·도시 가족</t>
  </si>
  <si>
    <t>고령화·출산·다문화 등 정주 환경 대응 (안내 IT 중심)</t>
  </si>
  <si>
    <t>물리적 시설 신축이 아닌, 기존 시설의 등록·안내·매칭 IT 서비스. 고령화·출산·다문화 등 소도시 정주 환경 정책에 시민 만족도 차원에서 직접 영향.</t>
  </si>
  <si>
    <t>9</t>
  </si>
  <si>
    <t>기업 유치·투자</t>
  </si>
  <si>
    <t>지자체 인구·세수·일자리 목표 직결</t>
  </si>
  <si>
    <t>지역 활성화 데이터를 근거로 빅브랜드·자본·창업가·기업을 지역과 연결. 지자체의 본질적 인구·세수·일자리 목표에 직결.</t>
  </si>
  <si>
    <t>10</t>
  </si>
  <si>
    <t>ESG</t>
  </si>
  <si>
    <t>지자체 ESG 평가·정책 대응</t>
  </si>
  <si>
    <t>지자체가 정책·평가·보고에서 직접 필요로 하는 ESG 영역에 IT로 대응. Environment(친환경 운영), Social(시민·소상공인 사회 임팩트), Governance(지자체-운영팀-시민 협력 거버넌스).</t>
  </si>
  <si>
    <t>11</t>
  </si>
  <si>
    <t>기타</t>
  </si>
  <si>
    <t>시장 검증된 큰 운영 기능</t>
  </si>
  <si>
    <t>이미 시장에서 검증된 큰 운영 기능들. 단독으로도 임팩트가 큰 솔루션 모음.</t>
  </si>
  <si>
    <r>
      <rPr>
        <b/>
        <sz val="14"/>
        <color rgb="FF1A1A1A"/>
        <rFont val="맑은 고딕"/>
        <family val="2"/>
        <charset val="129"/>
      </rPr>
      <t xml:space="preserve">04    </t>
    </r>
    <r>
      <rPr>
        <b/>
        <sz val="14"/>
        <color rgb="FF1A1A1A"/>
        <rFont val="Noto Sans CJK SC"/>
        <family val="2"/>
      </rPr>
      <t>색상 규약</t>
    </r>
  </si>
  <si>
    <t xml:space="preserve">     </t>
  </si>
  <si>
    <t>검은 배경 + 흰 글씨</t>
  </si>
  <si>
    <t>헤더 및 총합계 행</t>
  </si>
  <si>
    <t>베이지 배경</t>
  </si>
  <si>
    <t>카테고리 헤더 (카테고리 합계 포함)</t>
  </si>
  <si>
    <t>연한 베이지</t>
  </si>
  <si>
    <t>솔루션 행 줄무늬</t>
  </si>
  <si>
    <t>오렌지</t>
  </si>
  <si>
    <t>카테고리 번호 배지·액센트</t>
  </si>
  <si>
    <t>단가는 시장 일반 기준 산정이며, 사업 확정 단계에서 견적·계약 시 재산정한다.</t>
  </si>
  <si>
    <t>거리 단계 — 단일 거리 활성화</t>
  </si>
  <si>
    <t>단가 배수: ×1.0 (거리 기준) · 단위: 원 (₩) · 부가세 별도</t>
  </si>
  <si>
    <t>코드</t>
  </si>
  <si>
    <t>솔루션명</t>
  </si>
  <si>
    <t>한 줄 설명</t>
  </si>
  <si>
    <t>단가 (원)</t>
  </si>
  <si>
    <t>공간   ·   공실의 단기임대 활성화 / 청년의 무대, 지속가능한 팝업타운</t>
  </si>
  <si>
    <t>1-1</t>
  </si>
  <si>
    <t>로컬 스토리 아카이브·콘텐츠 자산화 플랫폼</t>
  </si>
  <si>
    <t>동네 인물·노포·골목 서사를 위치·테마로 구조화 등록, QR 스토리·전시·오디오 가이드로 재가공. 사업 종료 후에도 남는 영구 콘텐츠 자산</t>
  </si>
  <si>
    <t>1-2</t>
  </si>
  <si>
    <t>임대 매물 등록·관리 시스템</t>
  </si>
  <si>
    <t>수요자·공급자 양방향 등록, 매물 정보·일정·상태 관리</t>
  </si>
  <si>
    <t>1-3</t>
  </si>
  <si>
    <t>공실 현황 GIS 지도 시스템</t>
  </si>
  <si>
    <t>지역 공실·매물을 지도에 실시간 표시, 권역·시기별 공실률·전환율 시각화. 지자체가 공실 분포를 한눈에 파악</t>
  </si>
  <si>
    <t>1-4</t>
  </si>
  <si>
    <r>
      <rPr>
        <b/>
        <sz val="10.5"/>
        <color rgb="FF1A1A1A"/>
        <rFont val="맑은 고딕"/>
        <family val="2"/>
        <charset val="129"/>
      </rPr>
      <t xml:space="preserve">AI </t>
    </r>
    <r>
      <rPr>
        <b/>
        <sz val="10.5"/>
        <color rgb="FF1A1A1A"/>
        <rFont val="Noto Sans CJK SC"/>
        <family val="2"/>
      </rPr>
      <t>매물</t>
    </r>
    <r>
      <rPr>
        <b/>
        <sz val="10.5"/>
        <color rgb="FF1A1A1A"/>
        <rFont val="맑은 고딕"/>
        <family val="2"/>
        <charset val="129"/>
      </rPr>
      <t>-</t>
    </r>
    <r>
      <rPr>
        <b/>
        <sz val="10.5"/>
        <color rgb="FF1A1A1A"/>
        <rFont val="Noto Sans CJK SC"/>
        <family val="2"/>
      </rPr>
      <t>수요 매칭 추천 서비스</t>
    </r>
  </si>
  <si>
    <t>초기 생성형 AI 기반 추천으로 시작, 운영 데이터 누적 후 데이터 기반 추천으로 진화. 지도·필터·찜·알림 포함</t>
  </si>
  <si>
    <t>1-5</t>
  </si>
  <si>
    <t>단기 임대 계약·일정 원스톱 서비스</t>
  </si>
  <si>
    <t>단기·팝업 특화 표준 양식, 캘린더 충돌 방지, 전자계약 API 연동</t>
  </si>
  <si>
    <t>1-6</t>
  </si>
  <si>
    <t>임대 신뢰 보증 솔루션</t>
  </si>
  <si>
    <t>등기등록부·도면·사진 등 서류 사전 검증·인증 마크 + 양방향 운영 후기·평점을 통합한 신뢰 기반. 첫 거래의 진입 장벽 완화</t>
  </si>
  <si>
    <t>1-7</t>
  </si>
  <si>
    <t>임대 분쟁 예방·조율 시스템</t>
  </si>
  <si>
    <t>입퇴실 표준 점검 절차·증빙 기록 + 분쟁 발생 시 사실 관계 기반 조율 워크플로우</t>
  </si>
  <si>
    <t>1-8</t>
  </si>
  <si>
    <t>공간 운영 분석 리포트</t>
  </si>
  <si>
    <t>체류·동선·재방문 데이터 분석, 임대인 정기 리포트 발송</t>
  </si>
  <si>
    <t>아이템   ·   청년 아이템·특산물의 시장 검증</t>
  </si>
  <si>
    <t>2-1</t>
  </si>
  <si>
    <t>청년 아이템·지역 특산물 통합 큐레이션 허브</t>
  </si>
  <si>
    <t>생산자·상품·스토리 등록 DB, 카테고리·시즌·태그 메타 큐레이션 운영</t>
  </si>
  <si>
    <t>2-2</t>
  </si>
  <si>
    <r>
      <rPr>
        <b/>
        <sz val="10.5"/>
        <color rgb="FF1A1A1A"/>
        <rFont val="맑은 고딕"/>
        <family val="2"/>
        <charset val="129"/>
      </rPr>
      <t xml:space="preserve">AI </t>
    </r>
    <r>
      <rPr>
        <b/>
        <sz val="10.5"/>
        <color rgb="FF1A1A1A"/>
        <rFont val="Noto Sans CJK SC"/>
        <family val="2"/>
      </rPr>
      <t>매장 인테리어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Noto Sans CJK SC"/>
        <family val="2"/>
      </rPr>
      <t>진열 추천 서비스</t>
    </r>
  </si>
  <si>
    <t>평수·업종·상품군 입력 시 무드보드·진열 동선 추천. 초기 프롬프트 기반으로 시작하고 운영 데이터 누적 후 데이터 기반 추천으로 진화</t>
  </si>
  <si>
    <t>2-3</t>
  </si>
  <si>
    <t>디지털 쇼룸 (3D/360 WebGL) 솔루션</t>
  </si>
  <si>
    <t>매장·상품 360도 체험, 오프라인 방문 전후 활용</t>
  </si>
  <si>
    <t>2-4</t>
  </si>
  <si>
    <t>커머스·자사몰 연동 시스템</t>
  </si>
  <si>
    <t>결제 PG·재고·자사몰 연동, 현장→자사몰 재구매 전환</t>
  </si>
  <si>
    <t>2-5</t>
  </si>
  <si>
    <t>테스트 팝업타운 운영 플랫폼</t>
  </si>
  <si>
    <t>청년·창작자의 시장 검증 통합 환경, 매출·반응·재방문 수집</t>
  </si>
  <si>
    <t>2-6</t>
  </si>
  <si>
    <t>팝업 오너 운영 대시보드</t>
  </si>
  <si>
    <t>입점 브랜드 전용 매출·재고·예약·운영 KPI 통합 대시보드</t>
  </si>
  <si>
    <t>2-7</t>
  </si>
  <si>
    <r>
      <rPr>
        <b/>
        <sz val="10.5"/>
        <color rgb="FF1A1A1A"/>
        <rFont val="DejaVu Sans"/>
        <family val="2"/>
        <charset val="1"/>
      </rPr>
      <t xml:space="preserve">AI </t>
    </r>
    <r>
      <rPr>
        <b/>
        <sz val="10.5"/>
        <color rgb="FF1A1A1A"/>
        <rFont val="Noto Sans CJK SC"/>
        <family val="2"/>
      </rPr>
      <t>팝업 추천 코스 서비스</t>
    </r>
  </si>
  <si>
    <t>방문객 타깃·테마·시즌별 추천 코스 제공</t>
  </si>
  <si>
    <t>2-8</t>
  </si>
  <si>
    <t>상품 자동 태깅·검색 서비스</t>
  </si>
  <si>
    <r>
      <rPr>
        <sz val="9.5"/>
        <color rgb="FF4A4A4A"/>
        <rFont val="DejaVu Sans"/>
        <family val="2"/>
        <charset val="1"/>
      </rPr>
      <t>LLM·</t>
    </r>
    <r>
      <rPr>
        <sz val="9.5"/>
        <color rgb="FF4A4A4A"/>
        <rFont val="Noto Sans CJK SC"/>
        <family val="2"/>
      </rPr>
      <t>비전 모델로 카테고리</t>
    </r>
    <r>
      <rPr>
        <sz val="9.5"/>
        <color rgb="FF4A4A4A"/>
        <rFont val="DejaVu Sans"/>
        <family val="2"/>
        <charset val="1"/>
      </rPr>
      <t>·</t>
    </r>
    <r>
      <rPr>
        <sz val="9.5"/>
        <color rgb="FF4A4A4A"/>
        <rFont val="Noto Sans CJK SC"/>
        <family val="2"/>
      </rPr>
      <t>키워드 자동 추출</t>
    </r>
    <r>
      <rPr>
        <sz val="9.5"/>
        <color rgb="FF4A4A4A"/>
        <rFont val="DejaVu Sans"/>
        <family val="2"/>
        <charset val="1"/>
      </rPr>
      <t xml:space="preserve">, </t>
    </r>
    <r>
      <rPr>
        <sz val="9.5"/>
        <color rgb="FF4A4A4A"/>
        <rFont val="Noto Sans CJK SC"/>
        <family val="2"/>
      </rPr>
      <t>검색 정확도 향상</t>
    </r>
  </si>
  <si>
    <t>2-9</t>
  </si>
  <si>
    <t>소상공인 정산·지원금 연계 도우미</t>
  </si>
  <si>
    <t>매출·정산 데이터 자동 집계 + 신청 가능 정부·지자체 지원금 매칭·신청 동선 안내. 세무 대행이 아닌 연계·안내 중심(홈택스·세무사 연결)</t>
  </si>
  <si>
    <t>이벤트   ·   페스티벌·야시장·영화제의 디지털 운영</t>
  </si>
  <si>
    <t>3-1</t>
  </si>
  <si>
    <t>이벤트 규모별(S/M/L/XL) 등록·운영 시스템</t>
  </si>
  <si>
    <t>행사 규모별 표준 양식·워크플로우. 운영팀 학습 부담 최소화</t>
  </si>
  <si>
    <t>3-2</t>
  </si>
  <si>
    <t>예약·예매 통합 플랫폼</t>
  </si>
  <si>
    <t>좌석·구역·시간대 예약, PG 연동, QR 티켓 발행</t>
  </si>
  <si>
    <t>3-3</t>
  </si>
  <si>
    <t>모바일 QR/NFC 체크인·스탬프 시스템</t>
  </si>
  <si>
    <t>별도 장비 불필요. 모바일만으로 입장·스탬프 랠리·동선 추적</t>
  </si>
  <si>
    <t>3-4</t>
  </si>
  <si>
    <t>실시간 행사 운영 대시보드</t>
  </si>
  <si>
    <r>
      <rPr>
        <sz val="9.5"/>
        <color rgb="FF4A4A4A"/>
        <rFont val="DejaVu Sans"/>
        <family val="2"/>
        <charset val="1"/>
      </rPr>
      <t xml:space="preserve">WebSocket </t>
    </r>
    <r>
      <rPr>
        <sz val="9.5"/>
        <color rgb="FF4A4A4A"/>
        <rFont val="Noto Sans CJK SC"/>
        <family val="2"/>
      </rPr>
      <t>기반 실시간 입장자</t>
    </r>
    <r>
      <rPr>
        <sz val="9.5"/>
        <color rgb="FF4A4A4A"/>
        <rFont val="DejaVu Sans"/>
        <family val="2"/>
        <charset val="1"/>
      </rPr>
      <t>·</t>
    </r>
    <r>
      <rPr>
        <sz val="9.5"/>
        <color rgb="FF4A4A4A"/>
        <rFont val="Noto Sans CJK SC"/>
        <family val="2"/>
      </rPr>
      <t>매출</t>
    </r>
    <r>
      <rPr>
        <sz val="9.5"/>
        <color rgb="FF4A4A4A"/>
        <rFont val="DejaVu Sans"/>
        <family val="2"/>
        <charset val="1"/>
      </rPr>
      <t>·</t>
    </r>
    <r>
      <rPr>
        <sz val="9.5"/>
        <color rgb="FF4A4A4A"/>
        <rFont val="Noto Sans CJK SC"/>
        <family val="2"/>
      </rPr>
      <t>이슈 모니터링</t>
    </r>
  </si>
  <si>
    <t>3-5</t>
  </si>
  <si>
    <t>이벤트 팀 협업·결산 자동화 워크플로우</t>
  </si>
  <si>
    <t>부스·인력·일정 분담, 행사 후 결산 리포트 발행</t>
  </si>
  <si>
    <t>3-6</t>
  </si>
  <si>
    <t>행사 안전·인파 관리 시스템</t>
  </si>
  <si>
    <t>실시간 인파 밀도·동선 모니터링, 안전 알림. 대형 행사 책임 대응</t>
  </si>
  <si>
    <t>네트워크·시너지   ·   거리 → 권역 → 광역 활성화</t>
  </si>
  <si>
    <t>4-1</t>
  </si>
  <si>
    <t>미션·퀘스트 게이미피케이션 프로그램</t>
  </si>
  <si>
    <t>시민 참여형 동네 미션(도장 깨기), 유동·체류·재방문 증가</t>
  </si>
  <si>
    <t>4-2</t>
  </si>
  <si>
    <t>거리 → 권역 확산 진척 시각화 대시보드</t>
  </si>
  <si>
    <t>거리·권역별 성과 누적 시각화, 보고·홍보·차기 거리 선정 자료</t>
  </si>
  <si>
    <t>4-3</t>
  </si>
  <si>
    <t>차기 거점 거리 추천 서비스</t>
  </si>
  <si>
    <t>성과 데이터 기반 다음 확산 후보지 추천</t>
  </si>
  <si>
    <t>4-4</t>
  </si>
  <si>
    <t>사업 운영 통합 모니터링 대시보드</t>
  </si>
  <si>
    <r>
      <rPr>
        <sz val="9.5"/>
        <color rgb="FF4A4A4A"/>
        <rFont val="DejaVu Sans"/>
        <family val="2"/>
        <charset val="1"/>
      </rPr>
      <t>10</t>
    </r>
    <r>
      <rPr>
        <sz val="9.5"/>
        <color rgb="FF4A4A4A"/>
        <rFont val="Noto Sans CJK SC"/>
        <family val="2"/>
      </rPr>
      <t>개 카테고리의 운영 데이터를 한 화면에 통합</t>
    </r>
    <r>
      <rPr>
        <sz val="9.5"/>
        <color rgb="FF4A4A4A"/>
        <rFont val="DejaVu Sans"/>
        <family val="2"/>
        <charset val="1"/>
      </rPr>
      <t xml:space="preserve">. </t>
    </r>
    <r>
      <rPr>
        <sz val="9.5"/>
        <color rgb="FF4A4A4A"/>
        <rFont val="Noto Sans CJK SC"/>
        <family val="2"/>
      </rPr>
      <t>시계열</t>
    </r>
    <r>
      <rPr>
        <sz val="9.5"/>
        <color rgb="FF4A4A4A"/>
        <rFont val="DejaVu Sans"/>
        <family val="2"/>
        <charset val="1"/>
      </rPr>
      <t>·KPI·</t>
    </r>
    <r>
      <rPr>
        <sz val="9.5"/>
        <color rgb="FF4A4A4A"/>
        <rFont val="Noto Sans CJK SC"/>
        <family val="2"/>
      </rPr>
      <t>이슈 모니터링</t>
    </r>
  </si>
  <si>
    <t>4-5</t>
  </si>
  <si>
    <t>권역 간 데이터 연동 플랫폼</t>
  </si>
  <si>
    <r>
      <rPr>
        <sz val="9.5"/>
        <color rgb="FF4A4A4A"/>
        <rFont val="DejaVu Sans"/>
        <family val="2"/>
        <charset val="1"/>
      </rPr>
      <t xml:space="preserve">RESTful API + Webhook, </t>
    </r>
    <r>
      <rPr>
        <sz val="9.5"/>
        <color rgb="FF4A4A4A"/>
        <rFont val="Noto Sans CJK SC"/>
        <family val="2"/>
      </rPr>
      <t>인접 지역</t>
    </r>
    <r>
      <rPr>
        <sz val="9.5"/>
        <color rgb="FF4A4A4A"/>
        <rFont val="DejaVu Sans"/>
        <family val="2"/>
        <charset val="1"/>
      </rPr>
      <t>·</t>
    </r>
    <r>
      <rPr>
        <sz val="9.5"/>
        <color rgb="FF4A4A4A"/>
        <rFont val="Noto Sans CJK SC"/>
        <family val="2"/>
      </rPr>
      <t>다른 지자체 데이터 연동</t>
    </r>
  </si>
  <si>
    <t>4-6</t>
  </si>
  <si>
    <t>자동 연계·시너지 알림 엔진</t>
  </si>
  <si>
    <t>성과·이벤트 발생 시 자동 푸시·알림톡, Retention 유도</t>
  </si>
  <si>
    <t>멤버십·지역화폐   ·   1회 방문자를 도시의 팬으로</t>
  </si>
  <si>
    <t>5-1</t>
  </si>
  <si>
    <t>멤버십·등급 통합 인증 시스템</t>
  </si>
  <si>
    <r>
      <rPr>
        <sz val="9.5"/>
        <color rgb="FF4A4A4A"/>
        <rFont val="DejaVu Sans"/>
        <family val="2"/>
        <charset val="1"/>
      </rPr>
      <t xml:space="preserve">SSO </t>
    </r>
    <r>
      <rPr>
        <sz val="9.5"/>
        <color rgb="FF4A4A4A"/>
        <rFont val="Noto Sans CJK SC"/>
        <family val="2"/>
      </rPr>
      <t>기반 통합 인증</t>
    </r>
    <r>
      <rPr>
        <sz val="9.5"/>
        <color rgb="FF4A4A4A"/>
        <rFont val="DejaVu Sans"/>
        <family val="2"/>
        <charset val="1"/>
      </rPr>
      <t xml:space="preserve">, </t>
    </r>
    <r>
      <rPr>
        <sz val="9.5"/>
        <color rgb="FF4A4A4A"/>
        <rFont val="Noto Sans CJK SC"/>
        <family val="2"/>
      </rPr>
      <t>누적 활동 기반 등급</t>
    </r>
    <r>
      <rPr>
        <sz val="9.5"/>
        <color rgb="FF4A4A4A"/>
        <rFont val="DejaVu Sans"/>
        <family val="2"/>
        <charset val="1"/>
      </rPr>
      <t>·</t>
    </r>
    <r>
      <rPr>
        <sz val="9.5"/>
        <color rgb="FF4A4A4A"/>
        <rFont val="Noto Sans CJK SC"/>
        <family val="2"/>
      </rPr>
      <t>혜택</t>
    </r>
  </si>
  <si>
    <t>5-2</t>
  </si>
  <si>
    <t>쿠폰·포인트 발행·정산 엔진</t>
  </si>
  <si>
    <t>지역 상점 사용 쿠폰·포인트 발행·QR 정산, 지자체 공동 발행</t>
  </si>
  <si>
    <t>5-3</t>
  </si>
  <si>
    <t>지역화폐 연동·정산 플랫폼</t>
  </si>
  <si>
    <t>기존 지자체 지역화폐 API 연동, 사업 결제 흐름이 곧 지역화폐 사용 확대</t>
  </si>
  <si>
    <t>5-4</t>
  </si>
  <si>
    <t>리워드·게이미피케이션 프로그램</t>
  </si>
  <si>
    <t>누적 랭킹·시즌 미션·리워드 지급</t>
  </si>
  <si>
    <t>5-5</t>
  </si>
  <si>
    <t>시즌 패스·콜라보 쿠폰 시스템</t>
  </si>
  <si>
    <t>시즌별 통합 패스, 다수 상점 콜라보 쿠폰 발행</t>
  </si>
  <si>
    <t>성과 시각화·리포트   ·   지자체 정책의 영구적 근거 자산</t>
  </si>
  <si>
    <t>6-1</t>
  </si>
  <si>
    <t>데이터 수집·정제 파이프라인</t>
  </si>
  <si>
    <t>공실·매칭·이벤트·소비·유동 데이터 표준 ETL, 일배치+스트리밍 혼합</t>
  </si>
  <si>
    <t>6-2</t>
  </si>
  <si>
    <t>자동 정기 리포트 발행 서비스</t>
  </si>
  <si>
    <t>월·분기 PDF 리포트, 템플릿 차트 + LLM 텍스트 초안, 운영자 확정 후 배포</t>
  </si>
  <si>
    <t>6-3</t>
  </si>
  <si>
    <t>지자체용 BI 대시보드</t>
  </si>
  <si>
    <t>드래그·드롭 필터, 시계열·코호트·퍼널 분석, 별도 학습 불필요</t>
  </si>
  <si>
    <t>6-4</t>
  </si>
  <si>
    <t>시민·임차인 자동 만족도 설문·집계 시스템</t>
  </si>
  <si>
    <t>설문 발송·수집, 정량 지표 + 정성 피드백 통합 리포트</t>
  </si>
  <si>
    <t>6-5</t>
  </si>
  <si>
    <t>개인정보 비식별화·보안 시스템</t>
  </si>
  <si>
    <t>개인정보보호법·ISMS-P 기준 비식별화, 데이터 활용 안전성 확보</t>
  </si>
  <si>
    <t>6-6</t>
  </si>
  <si>
    <t>정책 시나리오·A/B 분석 도구</t>
  </si>
  <si>
    <t>정책 변경 전 시나리오 비교·A/B 분석으로 효과를 사전 점검 (효과 단정이 아닌 비교 분석)</t>
  </si>
  <si>
    <t>6-7</t>
  </si>
  <si>
    <t>상권·유동인구 진단 리포트 서비스</t>
  </si>
  <si>
    <t>카드매출·유동인구·업종 분포 데이터 연동, 거리·권역별 상권 건강도·입지 진단 리포트 자동 발행 (원천 데이터 제휴·구매 별도)</t>
  </si>
  <si>
    <t>미션 베이스 인재 매칭   ·   지역 청년 유출·소도시 인구 감소 대응</t>
  </si>
  <si>
    <t>7-1</t>
  </si>
  <si>
    <t>미션 기반 단기 인재 매칭 플랫폼</t>
  </si>
  <si>
    <t>단발 미션·프로젝트 단위 매칭, 청년·로컬 크리에이터 우선</t>
  </si>
  <si>
    <t>7-2</t>
  </si>
  <si>
    <t>비전·스토리 기반 채용 큐레이션 시스템</t>
  </si>
  <si>
    <t>단순 스펙이 아닌 비전·스토리로 매칭하는 큐레이션 워크플로우</t>
  </si>
  <si>
    <t>7-3</t>
  </si>
  <si>
    <t>로컬 크리에이터·청년 풀 관리 허브</t>
  </si>
  <si>
    <t>지역 인재 풀 DB·이력 관리·재참여 추적</t>
  </si>
  <si>
    <t>7-4</t>
  </si>
  <si>
    <t>활동 이력·역량 평가 시스템</t>
  </si>
  <si>
    <t>미션 누적 결과 이력화, 인재 성장 지원</t>
  </si>
  <si>
    <t>7-5</t>
  </si>
  <si>
    <t>온라인 교육·역량 강화 프로그램</t>
  </si>
  <si>
    <t>매칭 전후 교육 콘텐츠 제공, 지역 인재 역량 강화</t>
  </si>
  <si>
    <t>포용성·도시 가족   ·   고령화·출산·다문화 등 정주 환경 대응 (안내 IT 중심)</t>
  </si>
  <si>
    <t>8-1</t>
  </si>
  <si>
    <r>
      <rPr>
        <b/>
        <sz val="10.5"/>
        <color rgb="FF1A1A1A"/>
        <rFont val="DejaVu Sans"/>
        <family val="2"/>
        <charset val="1"/>
      </rPr>
      <t xml:space="preserve">AI </t>
    </r>
    <r>
      <rPr>
        <b/>
        <sz val="10.5"/>
        <color rgb="FF1A1A1A"/>
        <rFont val="Noto Sans CJK SC"/>
        <family val="2"/>
      </rPr>
      <t xml:space="preserve">통합 안내 챗봇 </t>
    </r>
    <r>
      <rPr>
        <b/>
        <sz val="10.5"/>
        <color rgb="FF1A1A1A"/>
        <rFont val="DejaVu Sans"/>
        <family val="2"/>
        <charset val="1"/>
      </rPr>
      <t>(</t>
    </r>
    <r>
      <rPr>
        <b/>
        <sz val="10.5"/>
        <color rgb="FF1A1A1A"/>
        <rFont val="Noto Sans CJK SC"/>
        <family val="2"/>
      </rPr>
      <t>다국어</t>
    </r>
    <r>
      <rPr>
        <b/>
        <sz val="10.5"/>
        <color rgb="FF1A1A1A"/>
        <rFont val="DejaVu Sans"/>
        <family val="2"/>
        <charset val="1"/>
      </rPr>
      <t>·</t>
    </r>
    <r>
      <rPr>
        <b/>
        <sz val="10.5"/>
        <color rgb="FF1A1A1A"/>
        <rFont val="Noto Sans CJK SC"/>
        <family val="2"/>
      </rPr>
      <t>접근성</t>
    </r>
    <r>
      <rPr>
        <b/>
        <sz val="10.5"/>
        <color rgb="FF1A1A1A"/>
        <rFont val="DejaVu Sans"/>
        <family val="2"/>
        <charset val="1"/>
      </rPr>
      <t>)</t>
    </r>
  </si>
  <si>
    <t>시설·교통약자 동선·다국어 안내를 한 채널로 응대하는 대화형 안내. 기존 LLM·번역·지도 API 연동, 포용성 안내 데이터 통합 활용</t>
  </si>
  <si>
    <t>8-2</t>
  </si>
  <si>
    <t>노인 친화 가이드·안내 시스템</t>
  </si>
  <si>
    <t>큰 폰트·음성·간단한 동선, 어르신 친화 UX</t>
  </si>
  <si>
    <t>8-3</t>
  </si>
  <si>
    <t>키즈 웰컴 공간·동선 안내 플랫폼</t>
  </si>
  <si>
    <t>유아 동반 가능 공간·기저귀룸·키즈존 등록·안내</t>
  </si>
  <si>
    <t>8-4</t>
  </si>
  <si>
    <t>출산·육아 친화 시설 등록·매칭 시스템</t>
  </si>
  <si>
    <t>기존 시설 정보 통합 등록·안내·매칭. 출산 장려 정책과 연계</t>
  </si>
  <si>
    <t>8-5</t>
  </si>
  <si>
    <t>다국어 안내·번역 엔진</t>
  </si>
  <si>
    <t>외국인 관광객·거주자 다국어 안내</t>
  </si>
  <si>
    <t>8-6</t>
  </si>
  <si>
    <t>교통 약자 동선·접근성 안내 시스템</t>
  </si>
  <si>
    <t>휠체어·고령자·시각장애인 접근성 가이드</t>
  </si>
  <si>
    <t>8-7</t>
  </si>
  <si>
    <t>반려동물 동반 공간 안내 플랫폼</t>
  </si>
  <si>
    <t>펫 동반 가능 시설·동선 등록·검색</t>
  </si>
  <si>
    <t>기업 유치·투자   ·   지자체 인구·세수·일자리 목표 직결</t>
  </si>
  <si>
    <t>9-1</t>
  </si>
  <si>
    <t>빅브랜드·앵커 테넌트 유치 매칭 플랫폼</t>
  </si>
  <si>
    <t>도시 활성화 데이터를 근거로 빅브랜드 입점 매칭</t>
  </si>
  <si>
    <t>9-2</t>
  </si>
  <si>
    <t>투자 유치·창업 매칭 플랫폼</t>
  </si>
  <si>
    <t>지역 데이터·스토리 기반 투자자·창업가 매칭</t>
  </si>
  <si>
    <t>9-3</t>
  </si>
  <si>
    <t>지자체 창업 지원 프로그램 매칭 서비스</t>
  </si>
  <si>
    <t>지자체 창업 지원 프로그램과 지역 창업가를 직접 연결. 신청 워크플로우 통합</t>
  </si>
  <si>
    <t>9-4</t>
  </si>
  <si>
    <t>본사 이전·상생 매칭 시스템</t>
  </si>
  <si>
    <t>지방 이전 검토 기업과 지자체 매칭, 상생 패키지 제공</t>
  </si>
  <si>
    <t>9-5</t>
  </si>
  <si>
    <t>창업 보육 지사·인큐베이터 연결 서비스</t>
  </si>
  <si>
    <t>전국 창업 보육 지사·인큐베이터와 지역 창업가 연결</t>
  </si>
  <si>
    <r>
      <rPr>
        <b/>
        <sz val="12"/>
        <color rgb="FF1A1A1A"/>
        <rFont val="DejaVu Sans"/>
        <family val="2"/>
        <charset val="1"/>
      </rPr>
      <t xml:space="preserve">ESG   ·   </t>
    </r>
    <r>
      <rPr>
        <b/>
        <sz val="12"/>
        <color rgb="FF1A1A1A"/>
        <rFont val="Noto Sans CJK SC"/>
        <family val="2"/>
      </rPr>
      <t xml:space="preserve">지자체 </t>
    </r>
    <r>
      <rPr>
        <b/>
        <sz val="12"/>
        <color rgb="FF1A1A1A"/>
        <rFont val="DejaVu Sans"/>
        <family val="2"/>
        <charset val="1"/>
      </rPr>
      <t xml:space="preserve">ESG </t>
    </r>
    <r>
      <rPr>
        <b/>
        <sz val="12"/>
        <color rgb="FF1A1A1A"/>
        <rFont val="Noto Sans CJK SC"/>
        <family val="2"/>
      </rPr>
      <t>평가</t>
    </r>
    <r>
      <rPr>
        <b/>
        <sz val="12"/>
        <color rgb="FF1A1A1A"/>
        <rFont val="DejaVu Sans"/>
        <family val="2"/>
        <charset val="1"/>
      </rPr>
      <t>·</t>
    </r>
    <r>
      <rPr>
        <b/>
        <sz val="12"/>
        <color rgb="FF1A1A1A"/>
        <rFont val="Noto Sans CJK SC"/>
        <family val="2"/>
      </rPr>
      <t>정책 대응</t>
    </r>
  </si>
  <si>
    <t>10-1</t>
  </si>
  <si>
    <t>다회용컵·친환경 운영 시스템 (거리 공용)</t>
  </si>
  <si>
    <t>거리 가맹 상점이 공용으로 쓰는 다회용컵·포장재 회수·세척 운영 트래킹</t>
  </si>
  <si>
    <t>10-2</t>
  </si>
  <si>
    <t>지역 ESG 지표 추적 리포트</t>
  </si>
  <si>
    <t>탄소 절감·자원 순환·시민 참여 등 ESG 지표 집계·리포트</t>
  </si>
  <si>
    <t>10-3</t>
  </si>
  <si>
    <t>지자체-운영팀 거버넌스 협의 시스템</t>
  </si>
  <si>
    <t>정기 협의록·의제·의사결정 추적, 정책 효과 공동 검토 (지자체 ESG 평가 대응)</t>
  </si>
  <si>
    <t>10-4</t>
  </si>
  <si>
    <t>시민 정책 의견 수렴 서비스</t>
  </si>
  <si>
    <t>시민 의견 수렴·집계·리포트. 정책 의견 중심</t>
  </si>
  <si>
    <t>10-5</t>
  </si>
  <si>
    <r>
      <rPr>
        <b/>
        <sz val="10.5"/>
        <color rgb="FF1A1A1A"/>
        <rFont val="DejaVu Sans"/>
        <family val="2"/>
        <charset val="1"/>
      </rPr>
      <t xml:space="preserve">CSR </t>
    </r>
    <r>
      <rPr>
        <b/>
        <sz val="10.5"/>
        <color rgb="FF1A1A1A"/>
        <rFont val="Noto Sans CJK SC"/>
        <family val="2"/>
      </rPr>
      <t>기업 협력 매칭 플랫폼</t>
    </r>
  </si>
  <si>
    <t>대기업 CSR 활동과 지역 사업 매칭, 사회 환원 채널화</t>
  </si>
  <si>
    <t>기타   ·   시장 검증된 큰 운영 기능</t>
  </si>
  <si>
    <t>11-1</t>
  </si>
  <si>
    <t>줄서기·대기열 디지털화 시스템</t>
  </si>
  <si>
    <t>원격 대기·호출 알림, 대기 시간 가시화</t>
  </si>
  <si>
    <t>11-2</t>
  </si>
  <si>
    <t>스마트 오더·미리 오더 플랫폼</t>
  </si>
  <si>
    <t>모바일 사전 주문·결제·픽업, 매장 회전율 향상</t>
  </si>
  <si>
    <t>11-3</t>
  </si>
  <si>
    <t>드라이브 스루 운영 시스템</t>
  </si>
  <si>
    <t>모바일 주문 → 차량 픽업 동선 매핑</t>
  </si>
  <si>
    <t>11-4</t>
  </si>
  <si>
    <t>모바일 통합 주문·결제 플랫폼</t>
  </si>
  <si>
    <t>동네 상점 통합 주문·결제 (경량 버전)</t>
  </si>
  <si>
    <t>11-5</t>
  </si>
  <si>
    <t>공간 청결·위생 점검·인증 시스템</t>
  </si>
  <si>
    <r>
      <rPr>
        <sz val="9.5"/>
        <color rgb="FF4A4A4A"/>
        <rFont val="DejaVu Sans"/>
        <family val="2"/>
        <charset val="1"/>
      </rPr>
      <t xml:space="preserve">QR </t>
    </r>
    <r>
      <rPr>
        <sz val="9.5"/>
        <color rgb="FF4A4A4A"/>
        <rFont val="Noto Sans CJK SC"/>
        <family val="2"/>
      </rPr>
      <t>위생 인증</t>
    </r>
    <r>
      <rPr>
        <sz val="9.5"/>
        <color rgb="FF4A4A4A"/>
        <rFont val="DejaVu Sans"/>
        <family val="2"/>
        <charset val="1"/>
      </rPr>
      <t xml:space="preserve">, </t>
    </r>
    <r>
      <rPr>
        <sz val="9.5"/>
        <color rgb="FF4A4A4A"/>
        <rFont val="Noto Sans CJK SC"/>
        <family val="2"/>
      </rPr>
      <t>정기 점검 워크플로우</t>
    </r>
    <r>
      <rPr>
        <sz val="9.5"/>
        <color rgb="FF4A4A4A"/>
        <rFont val="DejaVu Sans"/>
        <family val="2"/>
        <charset val="1"/>
      </rPr>
      <t xml:space="preserve">, </t>
    </r>
    <r>
      <rPr>
        <sz val="9.5"/>
        <color rgb="FF4A4A4A"/>
        <rFont val="Noto Sans CJK SC"/>
        <family val="2"/>
      </rPr>
      <t>시민 신뢰 확보</t>
    </r>
  </si>
  <si>
    <t>11-6</t>
  </si>
  <si>
    <t>의사결정·구성원 투표 시스템</t>
  </si>
  <si>
    <t>지자체·운영팀·임차인 등 구성원 의사결정 투표·집계·공지</t>
  </si>
  <si>
    <t xml:space="preserve">  총   합   계</t>
  </si>
  <si>
    <t>권역 단계 — 권역(여러 거리) 활성화</t>
  </si>
  <si>
    <t>단가 배수: ×1.7 (거리 기준) · 단위: 원 (₩) · 부가세 별도</t>
  </si>
  <si>
    <t>디지털 쇼룸 (3D/360 WebGL) 플랫폼</t>
  </si>
  <si>
    <t>결제 PG·재고·자사몰(Shopify·Cafe24) 연동, 현장→자사몰 재구매 전환</t>
  </si>
  <si>
    <r>
      <rPr>
        <b/>
        <sz val="10.5"/>
        <color rgb="FF1A1A1A"/>
        <rFont val="DejaVu Sans"/>
        <family val="2"/>
        <charset val="1"/>
      </rPr>
      <t xml:space="preserve">ESG/CSR </t>
    </r>
    <r>
      <rPr>
        <b/>
        <sz val="10.5"/>
        <color rgb="FF1A1A1A"/>
        <rFont val="Noto Sans CJK SC"/>
        <family val="2"/>
      </rPr>
      <t>기업 협력 매칭 플랫폼</t>
    </r>
  </si>
  <si>
    <t>대기업 ESG 활동과 지역 사업 매칭, 사회 환원 채널화</t>
  </si>
  <si>
    <t>광역 단계 — 광역(시·도) 확산</t>
  </si>
  <si>
    <t>단가 배수: ×3.0 (거리 기준) · 단위: 원 (₩) · 부가세 별도</t>
  </si>
  <si>
    <t>단계별 · 카테고리별 견적 합계</t>
  </si>
  <si>
    <t>각 단계 시트에서 [도입] 체크 변경 시 자동 갱신 · 단위: 원 (₩) · 부가세 별도</t>
  </si>
  <si>
    <t>거리</t>
  </si>
  <si>
    <t>권역</t>
  </si>
  <si>
    <t>광역</t>
  </si>
  <si>
    <t>거리 비중</t>
  </si>
  <si>
    <t>100.0%</t>
  </si>
  <si>
    <t>※ 각 단계 시트의 [도입] 컬럼을 변경하면 본 표가 자동 갱신됩니다.</t>
  </si>
  <si>
    <r>
      <t xml:space="preserve">AI </t>
    </r>
    <r>
      <rPr>
        <b/>
        <sz val="10.5"/>
        <color rgb="FF1A1A1A"/>
        <rFont val="Noto Sans CJK SC"/>
        <family val="2"/>
      </rPr>
      <t xml:space="preserve">통합 안내 챗봇 </t>
    </r>
    <r>
      <rPr>
        <b/>
        <sz val="10.5"/>
        <color rgb="FF1A1A1A"/>
        <rFont val="DejaVu Sans"/>
        <family val="2"/>
        <charset val="1"/>
      </rPr>
      <t>(</t>
    </r>
    <r>
      <rPr>
        <b/>
        <sz val="10.5"/>
        <color rgb="FF1A1A1A"/>
        <rFont val="Noto Sans CJK SC"/>
        <family val="2"/>
      </rPr>
      <t>다국어</t>
    </r>
    <r>
      <rPr>
        <b/>
        <sz val="10.5"/>
        <color rgb="FF1A1A1A"/>
        <rFont val="DejaVu Sans"/>
        <family val="2"/>
        <charset val="1"/>
      </rPr>
      <t>·</t>
    </r>
    <r>
      <rPr>
        <b/>
        <sz val="10.5"/>
        <color rgb="FF1A1A1A"/>
        <rFont val="Noto Sans CJK SC"/>
        <family val="2"/>
      </rPr>
      <t>접근성</t>
    </r>
    <r>
      <rPr>
        <b/>
        <sz val="10.5"/>
        <color rgb="FF1A1A1A"/>
        <rFont val="DejaVu Sans"/>
        <family val="2"/>
        <charset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</si>
</sst>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"/>
  </numFmts>
  <fonts count="49">
    <font>
      <sz val="11"/>
      <color theme="1"/>
      <name val="Calibri"/>
      <family val="2"/>
      <charset val="1"/>
    </font>
    <font>
      <b/>
      <sz val="20"/>
      <color rgb="FF1A1A1A"/>
      <name val="맑은 고딕"/>
      <family val="2"/>
      <charset val="129"/>
    </font>
    <font>
      <b/>
      <sz val="20"/>
      <color rgb="FF1A1A1A"/>
      <name val="Noto Sans CJK SC"/>
      <family val="2"/>
    </font>
    <font>
      <b/>
      <sz val="12"/>
      <color rgb="FFFF5A1F"/>
      <name val="Noto Sans CJK SC"/>
      <family val="2"/>
      <charset val="1"/>
    </font>
    <font>
      <sz val="10"/>
      <color rgb="FF8A8A8A"/>
      <name val="Noto Sans CJK SC"/>
      <family val="2"/>
      <charset val="1"/>
    </font>
    <font>
      <b/>
      <sz val="14"/>
      <color rgb="FF1A1A1A"/>
      <name val="맑은 고딕"/>
      <family val="2"/>
      <charset val="129"/>
    </font>
    <font>
      <b/>
      <sz val="14"/>
      <color rgb="FF1A1A1A"/>
      <name val="Noto Sans CJK SC"/>
      <family val="2"/>
    </font>
    <font>
      <sz val="10.5"/>
      <color rgb="FF1A1A1A"/>
      <name val="Noto Sans CJK SC"/>
      <family val="2"/>
      <charset val="1"/>
    </font>
    <font>
      <b/>
      <sz val="11"/>
      <color rgb="FFFF5A1F"/>
      <name val="맑은 고딕"/>
      <family val="2"/>
      <charset val="129"/>
    </font>
    <font>
      <sz val="10.5"/>
      <color rgb="FF1A1A1A"/>
      <name val="맑은 고딕"/>
      <family val="2"/>
      <charset val="129"/>
    </font>
    <font>
      <sz val="10.5"/>
      <color rgb="FF1A1A1A"/>
      <name val="Noto Sans CJK SC"/>
      <family val="2"/>
    </font>
    <font>
      <b/>
      <sz val="10"/>
      <color rgb="FFFFFFFF"/>
      <name val="맑은 고딕"/>
      <family val="2"/>
      <charset val="129"/>
    </font>
    <font>
      <b/>
      <sz val="10"/>
      <color rgb="FFFFFFFF"/>
      <name val="Noto Sans CJK SC"/>
      <family val="2"/>
      <charset val="1"/>
    </font>
    <font>
      <b/>
      <sz val="14"/>
      <color rgb="FFFF5A1F"/>
      <name val="맑은 고딕"/>
      <family val="2"/>
      <charset val="129"/>
    </font>
    <font>
      <b/>
      <sz val="11"/>
      <color rgb="FF1A1A1A"/>
      <name val="Noto Sans CJK SC"/>
      <family val="2"/>
      <charset val="1"/>
    </font>
    <font>
      <i/>
      <sz val="10"/>
      <color rgb="FFFF5A1F"/>
      <name val="Noto Sans CJK SC"/>
      <family val="2"/>
      <charset val="1"/>
    </font>
    <font>
      <sz val="10"/>
      <color rgb="FF4A4A4A"/>
      <name val="Noto Sans CJK SC"/>
      <family val="2"/>
      <charset val="1"/>
    </font>
    <font>
      <i/>
      <sz val="10"/>
      <color rgb="FFFF5A1F"/>
      <name val="맑은 고딕"/>
      <family val="2"/>
      <charset val="129"/>
    </font>
    <font>
      <i/>
      <sz val="10"/>
      <color rgb="FFFF5A1F"/>
      <name val="Noto Sans CJK SC"/>
      <family val="2"/>
    </font>
    <font>
      <sz val="10"/>
      <color rgb="FF4A4A4A"/>
      <name val="맑은 고딕"/>
      <family val="2"/>
      <charset val="129"/>
    </font>
    <font>
      <sz val="10"/>
      <color rgb="FF4A4A4A"/>
      <name val="Noto Sans CJK SC"/>
      <family val="2"/>
    </font>
    <font>
      <b/>
      <sz val="11"/>
      <color rgb="FF1A1A1A"/>
      <name val="맑은 고딕"/>
      <family val="2"/>
      <charset val="129"/>
    </font>
    <font>
      <sz val="11"/>
      <color rgb="FFFFFFFF"/>
      <name val="맑은 고딕"/>
      <family val="2"/>
      <charset val="129"/>
    </font>
    <font>
      <b/>
      <sz val="10"/>
      <color rgb="FF1A1A1A"/>
      <name val="Noto Sans CJK SC"/>
      <family val="2"/>
      <charset val="1"/>
    </font>
    <font>
      <sz val="11"/>
      <color rgb="FF1A1A1A"/>
      <name val="맑은 고딕"/>
      <family val="2"/>
      <charset val="129"/>
    </font>
    <font>
      <i/>
      <sz val="9"/>
      <color rgb="FF8A8A8A"/>
      <name val="Noto Sans CJK SC"/>
      <family val="2"/>
      <charset val="1"/>
    </font>
    <font>
      <b/>
      <sz val="18"/>
      <color rgb="FF1A1A1A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b/>
      <sz val="16"/>
      <color rgb="FFFFFFFF"/>
      <name val="맑은 고딕"/>
      <family val="2"/>
      <charset val="129"/>
    </font>
    <font>
      <b/>
      <sz val="12"/>
      <color rgb="FF1A1A1A"/>
      <name val="Noto Sans CJK SC"/>
      <family val="2"/>
      <charset val="1"/>
    </font>
    <font>
      <b/>
      <sz val="13"/>
      <color rgb="FF1A1A1A"/>
      <name val="맑은 고딕"/>
      <family val="2"/>
      <charset val="129"/>
    </font>
    <font>
      <sz val="10"/>
      <color rgb="FF8A8A8A"/>
      <name val="맑은 고딕"/>
      <family val="2"/>
      <charset val="129"/>
    </font>
    <font>
      <b/>
      <sz val="10.5"/>
      <color rgb="FF1A1A1A"/>
      <name val="Noto Sans CJK SC"/>
      <family val="2"/>
      <charset val="1"/>
    </font>
    <font>
      <sz val="9.5"/>
      <color rgb="FF4A4A4A"/>
      <name val="Noto Sans CJK SC"/>
      <family val="2"/>
      <charset val="1"/>
    </font>
    <font>
      <b/>
      <sz val="10.5"/>
      <color rgb="FF1A1A1A"/>
      <name val="맑은 고딕"/>
      <family val="2"/>
      <charset val="129"/>
    </font>
    <font>
      <b/>
      <sz val="10.5"/>
      <color rgb="FF1A1A1A"/>
      <name val="Noto Sans CJK SC"/>
      <family val="2"/>
    </font>
    <font>
      <b/>
      <sz val="10.5"/>
      <color rgb="FF1A1A1A"/>
      <name val="DejaVu Sans"/>
      <family val="2"/>
      <charset val="1"/>
    </font>
    <font>
      <sz val="9.5"/>
      <color rgb="FF4A4A4A"/>
      <name val="DejaVu Sans"/>
      <family val="2"/>
      <charset val="1"/>
    </font>
    <font>
      <sz val="9.5"/>
      <color rgb="FF4A4A4A"/>
      <name val="Noto Sans CJK SC"/>
      <family val="2"/>
    </font>
    <font>
      <b/>
      <sz val="12"/>
      <color rgb="FF1A1A1A"/>
      <name val="DejaVu Sans"/>
      <family val="2"/>
      <charset val="1"/>
    </font>
    <font>
      <b/>
      <sz val="12"/>
      <color rgb="FF1A1A1A"/>
      <name val="Noto Sans CJK SC"/>
      <family val="2"/>
    </font>
    <font>
      <b/>
      <sz val="15"/>
      <color rgb="FFFFFFFF"/>
      <name val="Noto Sans CJK SC"/>
      <family val="2"/>
      <charset val="1"/>
    </font>
    <font>
      <b/>
      <sz val="15"/>
      <color rgb="FFFFFFFF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2"/>
      <color rgb="FFFF5A1F"/>
      <name val="맑은 고딕"/>
      <family val="2"/>
      <charset val="129"/>
    </font>
    <font>
      <b/>
      <sz val="11"/>
      <color rgb="FF1F7A4A"/>
      <name val="맑은 고딕"/>
      <family val="2"/>
      <charset val="129"/>
    </font>
    <font>
      <b/>
      <sz val="13"/>
      <color rgb="FFFFFFFF"/>
      <name val="Noto Sans CJK SC"/>
      <family val="2"/>
      <charset val="1"/>
    </font>
    <font>
      <b/>
      <sz val="13"/>
      <color rgb="FFFFFFFF"/>
      <name val="맑은 고딕"/>
      <family val="2"/>
      <charset val="129"/>
    </font>
    <font>
      <b/>
      <sz val="12"/>
      <color rgb="FFFFFFFF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5A1F"/>
        <bgColor rgb="FFFF8080"/>
      </patternFill>
    </fill>
    <fill>
      <patternFill patternType="solid">
        <fgColor rgb="FFD8D2C1"/>
        <bgColor rgb="FFCCCCFF"/>
      </patternFill>
    </fill>
    <fill>
      <patternFill patternType="solid">
        <fgColor rgb="FFF4EFE6"/>
        <bgColor rgb="FFFAF6EE"/>
      </patternFill>
    </fill>
    <fill>
      <patternFill patternType="solid">
        <fgColor rgb="FF1A1A1A"/>
        <bgColor rgb="FF003300"/>
      </patternFill>
    </fill>
    <fill>
      <patternFill patternType="solid">
        <fgColor rgb="FFFAF6EE"/>
        <bgColor rgb="FFF4EFE6"/>
      </patternFill>
    </fill>
  </fills>
  <borders count="3">
    <border>
      <left/>
      <right/>
      <top/>
      <bottom/>
      <diagonal/>
    </border>
    <border>
      <left style="thin">
        <color rgb="FFD8D2C1"/>
      </left>
      <right style="thin">
        <color rgb="FFD8D2C1"/>
      </right>
      <top style="thin">
        <color rgb="FFD8D2C1"/>
      </top>
      <bottom style="thin">
        <color rgb="FFD8D2C1"/>
      </bottom>
      <diagonal/>
    </border>
    <border>
      <left style="thin">
        <color rgb="FFD8D2C1"/>
      </left>
      <right/>
      <top style="thin">
        <color rgb="FFD8D2C1"/>
      </top>
      <bottom style="thin">
        <color rgb="FFD8D2C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6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16" fillId="0" borderId="2" xfId="0" applyFont="1" applyBorder="1" applyAlignment="1">
      <alignment vertical="center" indent="1"/>
    </xf>
    <xf numFmtId="0" fontId="19" fillId="0" borderId="1" xfId="0" applyFont="1" applyBorder="1" applyAlignment="1">
      <alignment vertical="center" wrapText="1" indent="1"/>
    </xf>
    <xf numFmtId="0" fontId="16" fillId="6" borderId="1" xfId="0" applyFont="1" applyFill="1" applyBorder="1" applyAlignment="1">
      <alignment vertical="center" wrapText="1" indent="1"/>
    </xf>
    <xf numFmtId="0" fontId="16" fillId="0" borderId="1" xfId="0" applyFont="1" applyBorder="1" applyAlignment="1">
      <alignment vertical="center" wrapText="1" indent="1"/>
    </xf>
    <xf numFmtId="0" fontId="12" fillId="5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 indent="1"/>
    </xf>
    <xf numFmtId="0" fontId="7" fillId="0" borderId="2" xfId="0" applyFont="1" applyBorder="1" applyAlignment="1">
      <alignment vertical="center" wrapText="1" indent="1"/>
    </xf>
    <xf numFmtId="0" fontId="7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8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 indent="1"/>
    </xf>
    <xf numFmtId="0" fontId="15" fillId="0" borderId="1" xfId="0" applyFont="1" applyBorder="1" applyAlignment="1">
      <alignment vertical="center" wrapText="1" indent="1"/>
    </xf>
    <xf numFmtId="0" fontId="14" fillId="6" borderId="1" xfId="0" applyFont="1" applyFill="1" applyBorder="1" applyAlignment="1">
      <alignment vertical="center" indent="1"/>
    </xf>
    <xf numFmtId="0" fontId="15" fillId="6" borderId="1" xfId="0" applyFont="1" applyFill="1" applyBorder="1" applyAlignment="1">
      <alignment vertical="center" wrapText="1" indent="1"/>
    </xf>
    <xf numFmtId="0" fontId="17" fillId="0" borderId="1" xfId="0" applyFont="1" applyBorder="1" applyAlignment="1">
      <alignment vertical="center" wrapText="1" indent="1"/>
    </xf>
    <xf numFmtId="0" fontId="21" fillId="6" borderId="1" xfId="0" applyFont="1" applyFill="1" applyBorder="1" applyAlignment="1">
      <alignment vertical="center" indent="1"/>
    </xf>
    <xf numFmtId="0" fontId="22" fillId="5" borderId="1" xfId="0" applyFont="1" applyFill="1" applyBorder="1"/>
    <xf numFmtId="0" fontId="23" fillId="0" borderId="1" xfId="0" applyFont="1" applyBorder="1" applyAlignment="1">
      <alignment vertical="center" indent="1"/>
    </xf>
    <xf numFmtId="0" fontId="24" fillId="4" borderId="1" xfId="0" applyFont="1" applyFill="1" applyBorder="1"/>
    <xf numFmtId="0" fontId="24" fillId="6" borderId="1" xfId="0" applyFont="1" applyFill="1" applyBorder="1"/>
    <xf numFmtId="0" fontId="22" fillId="2" borderId="1" xfId="0" applyFont="1" applyFill="1" applyBorder="1"/>
    <xf numFmtId="0" fontId="27" fillId="5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164" fontId="30" fillId="4" borderId="1" xfId="0" applyNumberFormat="1" applyFont="1" applyFill="1" applyBorder="1" applyAlignment="1">
      <alignment horizontal="right" vertical="center" indent="1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vertical="center" wrapText="1" indent="1"/>
    </xf>
    <xf numFmtId="0" fontId="33" fillId="0" borderId="1" xfId="0" applyFont="1" applyBorder="1" applyAlignment="1">
      <alignment vertical="center" wrapText="1" indent="1"/>
    </xf>
    <xf numFmtId="164" fontId="9" fillId="0" borderId="1" xfId="0" applyNumberFormat="1" applyFont="1" applyBorder="1" applyAlignment="1">
      <alignment horizontal="right" vertical="center" indent="1"/>
    </xf>
    <xf numFmtId="0" fontId="31" fillId="6" borderId="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vertical="center" wrapText="1" indent="1"/>
    </xf>
    <xf numFmtId="0" fontId="33" fillId="6" borderId="1" xfId="0" applyFont="1" applyFill="1" applyBorder="1" applyAlignment="1">
      <alignment vertical="center" wrapText="1" indent="1"/>
    </xf>
    <xf numFmtId="164" fontId="9" fillId="6" borderId="1" xfId="0" applyNumberFormat="1" applyFont="1" applyFill="1" applyBorder="1" applyAlignment="1">
      <alignment horizontal="right" vertical="center" indent="1"/>
    </xf>
    <xf numFmtId="0" fontId="34" fillId="6" borderId="1" xfId="0" applyFont="1" applyFill="1" applyBorder="1" applyAlignment="1">
      <alignment vertical="center" wrapText="1" indent="1"/>
    </xf>
    <xf numFmtId="0" fontId="36" fillId="0" borderId="1" xfId="0" applyFont="1" applyBorder="1" applyAlignment="1">
      <alignment vertical="center" wrapText="1" indent="1"/>
    </xf>
    <xf numFmtId="0" fontId="37" fillId="6" borderId="1" xfId="0" applyFont="1" applyFill="1" applyBorder="1" applyAlignment="1">
      <alignment vertical="center" wrapText="1" indent="1"/>
    </xf>
    <xf numFmtId="0" fontId="37" fillId="0" borderId="1" xfId="0" applyFont="1" applyBorder="1" applyAlignment="1">
      <alignment vertical="center" wrapText="1" indent="1"/>
    </xf>
    <xf numFmtId="164" fontId="42" fillId="5" borderId="1" xfId="0" applyNumberFormat="1" applyFont="1" applyFill="1" applyBorder="1" applyAlignment="1">
      <alignment horizontal="right" vertical="center" indent="1"/>
    </xf>
    <xf numFmtId="0" fontId="43" fillId="5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vertical="center" indent="1"/>
    </xf>
    <xf numFmtId="164" fontId="45" fillId="0" borderId="1" xfId="0" applyNumberFormat="1" applyFont="1" applyBorder="1" applyAlignment="1">
      <alignment horizontal="right" vertical="center" indent="1"/>
    </xf>
    <xf numFmtId="165" fontId="19" fillId="0" borderId="1" xfId="0" applyNumberFormat="1" applyFont="1" applyBorder="1" applyAlignment="1">
      <alignment horizontal="right" vertical="center" indent="1"/>
    </xf>
    <xf numFmtId="0" fontId="32" fillId="6" borderId="1" xfId="0" applyFont="1" applyFill="1" applyBorder="1" applyAlignment="1">
      <alignment vertical="center" indent="1"/>
    </xf>
    <xf numFmtId="164" fontId="45" fillId="6" borderId="1" xfId="0" applyNumberFormat="1" applyFont="1" applyFill="1" applyBorder="1" applyAlignment="1">
      <alignment horizontal="right" vertical="center" indent="1"/>
    </xf>
    <xf numFmtId="165" fontId="19" fillId="6" borderId="1" xfId="0" applyNumberFormat="1" applyFont="1" applyFill="1" applyBorder="1" applyAlignment="1">
      <alignment horizontal="right" vertical="center" indent="1"/>
    </xf>
    <xf numFmtId="0" fontId="34" fillId="6" borderId="1" xfId="0" applyFont="1" applyFill="1" applyBorder="1" applyAlignment="1">
      <alignment vertical="center" indent="1"/>
    </xf>
    <xf numFmtId="164" fontId="47" fillId="5" borderId="1" xfId="0" applyNumberFormat="1" applyFont="1" applyFill="1" applyBorder="1" applyAlignment="1">
      <alignment horizontal="right" vertical="center" indent="1"/>
    </xf>
    <xf numFmtId="0" fontId="48" fillId="5" borderId="1" xfId="0" applyFont="1" applyFill="1" applyBorder="1" applyAlignment="1">
      <alignment horizontal="right" vertical="center" indent="1"/>
    </xf>
    <xf numFmtId="0" fontId="29" fillId="4" borderId="1" xfId="0" applyFont="1" applyFill="1" applyBorder="1" applyAlignment="1">
      <alignment vertical="center" indent="1"/>
    </xf>
    <xf numFmtId="0" fontId="39" fillId="4" borderId="1" xfId="0" applyFont="1" applyFill="1" applyBorder="1" applyAlignment="1">
      <alignment vertical="center" indent="1"/>
    </xf>
    <xf numFmtId="0" fontId="41" fillId="5" borderId="1" xfId="0" applyFont="1" applyFill="1" applyBorder="1" applyAlignment="1">
      <alignment vertical="center"/>
    </xf>
    <xf numFmtId="0" fontId="46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A"/>
      <rgbColor rgb="FFD8D2C1"/>
      <rgbColor rgb="FF8A8A8A"/>
      <rgbColor rgb="FF9999FF"/>
      <rgbColor rgb="FF993366"/>
      <rgbColor rgb="FFFAF6EE"/>
      <rgbColor rgb="FFF4EF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5A1F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9"/>
  <sheetViews>
    <sheetView tabSelected="1" topLeftCell="A10" zoomScale="119" zoomScaleNormal="100" workbookViewId="0"/>
  </sheetViews>
  <sheetFormatPr baseColWidth="10" defaultColWidth="8.6640625" defaultRowHeight="15"/>
  <cols>
    <col min="1" max="1" width="2" customWidth="1"/>
    <col min="2" max="2" width="8" customWidth="1"/>
    <col min="3" max="3" width="24" customWidth="1"/>
    <col min="4" max="4" width="28" customWidth="1"/>
    <col min="5" max="5" width="18" customWidth="1"/>
    <col min="6" max="8" width="16" customWidth="1"/>
  </cols>
  <sheetData>
    <row r="2" spans="2:8" ht="3.75" customHeight="1">
      <c r="B2" s="15"/>
      <c r="C2" s="15"/>
      <c r="D2" s="15"/>
      <c r="E2" s="15"/>
      <c r="F2" s="15"/>
      <c r="G2" s="15"/>
      <c r="H2" s="15"/>
    </row>
    <row r="4" spans="2:8" ht="36" customHeight="1">
      <c r="B4" s="14" t="s">
        <v>0</v>
      </c>
      <c r="C4" s="14"/>
      <c r="D4" s="14"/>
      <c r="E4" s="14"/>
      <c r="F4" s="14"/>
      <c r="G4" s="14"/>
      <c r="H4" s="14"/>
    </row>
    <row r="5" spans="2:8" ht="21.75" customHeight="1">
      <c r="B5" s="13" t="s">
        <v>1</v>
      </c>
      <c r="C5" s="13"/>
      <c r="D5" s="13"/>
      <c r="E5" s="13"/>
      <c r="F5" s="13"/>
      <c r="G5" s="13"/>
      <c r="H5" s="13"/>
    </row>
    <row r="6" spans="2:8" ht="15" customHeight="1">
      <c r="B6" s="12" t="s">
        <v>2</v>
      </c>
      <c r="C6" s="12"/>
      <c r="D6" s="12"/>
      <c r="E6" s="12"/>
      <c r="F6" s="12"/>
      <c r="G6" s="12"/>
      <c r="H6" s="12"/>
    </row>
    <row r="8" spans="2:8" ht="1.5" customHeight="1">
      <c r="B8" s="16"/>
      <c r="C8" s="16"/>
      <c r="D8" s="16"/>
      <c r="E8" s="16"/>
      <c r="F8" s="16"/>
      <c r="G8" s="16"/>
      <c r="H8" s="16"/>
    </row>
    <row r="10" spans="2:8" ht="25.5" customHeight="1">
      <c r="B10" s="11" t="s">
        <v>3</v>
      </c>
      <c r="C10" s="11"/>
      <c r="D10" s="11"/>
      <c r="E10" s="11"/>
      <c r="F10" s="11"/>
      <c r="G10" s="11"/>
      <c r="H10" s="11"/>
    </row>
    <row r="11" spans="2:8" ht="18" customHeight="1">
      <c r="B11" s="10" t="s">
        <v>4</v>
      </c>
      <c r="C11" s="10"/>
      <c r="D11" s="10"/>
      <c r="E11" s="10"/>
      <c r="F11" s="10"/>
      <c r="G11" s="10"/>
      <c r="H11" s="10"/>
    </row>
    <row r="12" spans="2:8" ht="18" customHeight="1">
      <c r="B12" s="10"/>
      <c r="C12" s="10"/>
      <c r="D12" s="10"/>
      <c r="E12" s="10"/>
      <c r="F12" s="10"/>
      <c r="G12" s="10"/>
      <c r="H12" s="10"/>
    </row>
    <row r="13" spans="2:8" ht="18" customHeight="1">
      <c r="B13" s="10"/>
      <c r="C13" s="10"/>
      <c r="D13" s="10"/>
      <c r="E13" s="10"/>
      <c r="F13" s="10"/>
      <c r="G13" s="10"/>
      <c r="H13" s="10"/>
    </row>
    <row r="15" spans="2:8" ht="18" customHeight="1">
      <c r="B15" s="10" t="s">
        <v>5</v>
      </c>
      <c r="C15" s="10"/>
      <c r="D15" s="10"/>
      <c r="E15" s="10"/>
      <c r="F15" s="10"/>
      <c r="G15" s="10"/>
      <c r="H15" s="10"/>
    </row>
    <row r="16" spans="2:8" ht="18" customHeight="1">
      <c r="B16" s="10"/>
      <c r="C16" s="10"/>
      <c r="D16" s="10"/>
      <c r="E16" s="10"/>
      <c r="F16" s="10"/>
      <c r="G16" s="10"/>
      <c r="H16" s="10"/>
    </row>
    <row r="17" spans="2:8" ht="18" customHeight="1">
      <c r="B17" s="10"/>
      <c r="C17" s="10"/>
      <c r="D17" s="10"/>
      <c r="E17" s="10"/>
      <c r="F17" s="10"/>
      <c r="G17" s="10"/>
      <c r="H17" s="10"/>
    </row>
    <row r="19" spans="2:8" ht="25.5" customHeight="1">
      <c r="B19" s="11" t="s">
        <v>6</v>
      </c>
      <c r="C19" s="11"/>
      <c r="D19" s="11"/>
      <c r="E19" s="11"/>
      <c r="F19" s="11"/>
      <c r="G19" s="11"/>
      <c r="H19" s="11"/>
    </row>
    <row r="20" spans="2:8" ht="24" customHeight="1">
      <c r="B20" s="17" t="s">
        <v>7</v>
      </c>
      <c r="C20" s="9" t="s">
        <v>8</v>
      </c>
      <c r="D20" s="9"/>
      <c r="E20" s="9"/>
      <c r="F20" s="9"/>
      <c r="G20" s="9"/>
      <c r="H20" s="9"/>
    </row>
    <row r="21" spans="2:8" ht="24" customHeight="1">
      <c r="B21" s="17" t="s">
        <v>9</v>
      </c>
      <c r="C21" s="9" t="s">
        <v>10</v>
      </c>
      <c r="D21" s="9"/>
      <c r="E21" s="9"/>
      <c r="F21" s="9"/>
      <c r="G21" s="9"/>
      <c r="H21" s="9"/>
    </row>
    <row r="22" spans="2:8" ht="24" customHeight="1">
      <c r="B22" s="17" t="s">
        <v>11</v>
      </c>
      <c r="C22" s="8" t="s">
        <v>12</v>
      </c>
      <c r="D22" s="8"/>
      <c r="E22" s="8"/>
      <c r="F22" s="8"/>
      <c r="G22" s="8"/>
      <c r="H22" s="8"/>
    </row>
    <row r="23" spans="2:8" ht="24" customHeight="1">
      <c r="B23" s="17" t="s">
        <v>13</v>
      </c>
      <c r="C23" s="9" t="s">
        <v>14</v>
      </c>
      <c r="D23" s="9"/>
      <c r="E23" s="9"/>
      <c r="F23" s="9"/>
      <c r="G23" s="9"/>
      <c r="H23" s="9"/>
    </row>
    <row r="24" spans="2:8" ht="24" customHeight="1">
      <c r="B24" s="17" t="s">
        <v>15</v>
      </c>
      <c r="C24" s="9" t="s">
        <v>16</v>
      </c>
      <c r="D24" s="9"/>
      <c r="E24" s="9"/>
      <c r="F24" s="9"/>
      <c r="G24" s="9"/>
      <c r="H24" s="9"/>
    </row>
    <row r="27" spans="2:8" ht="25.5" customHeight="1">
      <c r="B27" s="11" t="s">
        <v>17</v>
      </c>
      <c r="C27" s="11"/>
      <c r="D27" s="11"/>
      <c r="E27" s="11"/>
      <c r="F27" s="11"/>
      <c r="G27" s="11"/>
      <c r="H27" s="11"/>
    </row>
    <row r="28" spans="2:8" ht="25.5" customHeight="1">
      <c r="B28" s="18" t="s">
        <v>18</v>
      </c>
      <c r="C28" s="19" t="s">
        <v>19</v>
      </c>
      <c r="D28" s="19" t="s">
        <v>20</v>
      </c>
      <c r="E28" s="7" t="s">
        <v>21</v>
      </c>
      <c r="F28" s="7"/>
      <c r="G28" s="7"/>
      <c r="H28" s="7"/>
    </row>
    <row r="29" spans="2:8" ht="42" customHeight="1">
      <c r="B29" s="20" t="s">
        <v>7</v>
      </c>
      <c r="C29" s="21" t="s">
        <v>22</v>
      </c>
      <c r="D29" s="22" t="s">
        <v>23</v>
      </c>
      <c r="E29" s="6" t="s">
        <v>24</v>
      </c>
      <c r="F29" s="6"/>
      <c r="G29" s="6"/>
      <c r="H29" s="6"/>
    </row>
    <row r="30" spans="2:8" ht="42" customHeight="1">
      <c r="B30" s="20" t="s">
        <v>9</v>
      </c>
      <c r="C30" s="23" t="s">
        <v>25</v>
      </c>
      <c r="D30" s="24" t="s">
        <v>26</v>
      </c>
      <c r="E30" s="5" t="s">
        <v>27</v>
      </c>
      <c r="F30" s="5"/>
      <c r="G30" s="5"/>
      <c r="H30" s="5"/>
    </row>
    <row r="31" spans="2:8" ht="42" customHeight="1">
      <c r="B31" s="20" t="s">
        <v>11</v>
      </c>
      <c r="C31" s="21" t="s">
        <v>28</v>
      </c>
      <c r="D31" s="22" t="s">
        <v>29</v>
      </c>
      <c r="E31" s="6" t="s">
        <v>30</v>
      </c>
      <c r="F31" s="6"/>
      <c r="G31" s="6"/>
      <c r="H31" s="6"/>
    </row>
    <row r="32" spans="2:8" ht="42" customHeight="1">
      <c r="B32" s="20" t="s">
        <v>13</v>
      </c>
      <c r="C32" s="23" t="s">
        <v>31</v>
      </c>
      <c r="D32" s="24" t="s">
        <v>32</v>
      </c>
      <c r="E32" s="5" t="s">
        <v>33</v>
      </c>
      <c r="F32" s="5"/>
      <c r="G32" s="5"/>
      <c r="H32" s="5"/>
    </row>
    <row r="33" spans="2:8" ht="42" customHeight="1">
      <c r="B33" s="20" t="s">
        <v>15</v>
      </c>
      <c r="C33" s="21" t="s">
        <v>34</v>
      </c>
      <c r="D33" s="25" t="s">
        <v>35</v>
      </c>
      <c r="E33" s="4" t="s">
        <v>36</v>
      </c>
      <c r="F33" s="4"/>
      <c r="G33" s="4"/>
      <c r="H33" s="4"/>
    </row>
    <row r="34" spans="2:8" ht="42" customHeight="1">
      <c r="B34" s="20" t="s">
        <v>37</v>
      </c>
      <c r="C34" s="23" t="s">
        <v>38</v>
      </c>
      <c r="D34" s="24" t="s">
        <v>39</v>
      </c>
      <c r="E34" s="5" t="s">
        <v>40</v>
      </c>
      <c r="F34" s="5"/>
      <c r="G34" s="5"/>
      <c r="H34" s="5"/>
    </row>
    <row r="35" spans="2:8" ht="42" customHeight="1">
      <c r="B35" s="20" t="s">
        <v>41</v>
      </c>
      <c r="C35" s="21" t="s">
        <v>42</v>
      </c>
      <c r="D35" s="22" t="s">
        <v>43</v>
      </c>
      <c r="E35" s="6" t="s">
        <v>44</v>
      </c>
      <c r="F35" s="6"/>
      <c r="G35" s="6"/>
      <c r="H35" s="6"/>
    </row>
    <row r="36" spans="2:8" ht="42" customHeight="1">
      <c r="B36" s="20" t="s">
        <v>45</v>
      </c>
      <c r="C36" s="23" t="s">
        <v>46</v>
      </c>
      <c r="D36" s="24" t="s">
        <v>47</v>
      </c>
      <c r="E36" s="5" t="s">
        <v>48</v>
      </c>
      <c r="F36" s="5"/>
      <c r="G36" s="5"/>
      <c r="H36" s="5"/>
    </row>
    <row r="37" spans="2:8" ht="42" customHeight="1">
      <c r="B37" s="20" t="s">
        <v>49</v>
      </c>
      <c r="C37" s="21" t="s">
        <v>50</v>
      </c>
      <c r="D37" s="22" t="s">
        <v>51</v>
      </c>
      <c r="E37" s="6" t="s">
        <v>52</v>
      </c>
      <c r="F37" s="6"/>
      <c r="G37" s="6"/>
      <c r="H37" s="6"/>
    </row>
    <row r="38" spans="2:8" ht="42" customHeight="1">
      <c r="B38" s="20" t="s">
        <v>53</v>
      </c>
      <c r="C38" s="26" t="s">
        <v>54</v>
      </c>
      <c r="D38" s="24" t="s">
        <v>55</v>
      </c>
      <c r="E38" s="5" t="s">
        <v>56</v>
      </c>
      <c r="F38" s="5"/>
      <c r="G38" s="5"/>
      <c r="H38" s="5"/>
    </row>
    <row r="39" spans="2:8" ht="42" customHeight="1">
      <c r="B39" s="20" t="s">
        <v>57</v>
      </c>
      <c r="C39" s="21" t="s">
        <v>58</v>
      </c>
      <c r="D39" s="22" t="s">
        <v>59</v>
      </c>
      <c r="E39" s="6" t="s">
        <v>60</v>
      </c>
      <c r="F39" s="6"/>
      <c r="G39" s="6"/>
      <c r="H39" s="6"/>
    </row>
    <row r="42" spans="2:8" ht="25.5" customHeight="1">
      <c r="B42" s="11" t="s">
        <v>61</v>
      </c>
      <c r="C42" s="11"/>
      <c r="D42" s="11"/>
      <c r="E42" s="11"/>
      <c r="F42" s="11"/>
      <c r="G42" s="11"/>
      <c r="H42" s="11"/>
    </row>
    <row r="43" spans="2:8" ht="21.75" customHeight="1">
      <c r="B43" s="27" t="s">
        <v>62</v>
      </c>
      <c r="C43" s="28" t="s">
        <v>63</v>
      </c>
      <c r="D43" s="3" t="s">
        <v>64</v>
      </c>
      <c r="E43" s="3"/>
      <c r="F43" s="3"/>
      <c r="G43" s="3"/>
      <c r="H43" s="3"/>
    </row>
    <row r="44" spans="2:8" ht="21.75" customHeight="1">
      <c r="B44" s="29" t="s">
        <v>62</v>
      </c>
      <c r="C44" s="28" t="s">
        <v>65</v>
      </c>
      <c r="D44" s="3" t="s">
        <v>66</v>
      </c>
      <c r="E44" s="3"/>
      <c r="F44" s="3"/>
      <c r="G44" s="3"/>
      <c r="H44" s="3"/>
    </row>
    <row r="45" spans="2:8" ht="21.75" customHeight="1">
      <c r="B45" s="30" t="s">
        <v>62</v>
      </c>
      <c r="C45" s="28" t="s">
        <v>67</v>
      </c>
      <c r="D45" s="3" t="s">
        <v>68</v>
      </c>
      <c r="E45" s="3"/>
      <c r="F45" s="3"/>
      <c r="G45" s="3"/>
      <c r="H45" s="3"/>
    </row>
    <row r="46" spans="2:8" ht="21.75" customHeight="1">
      <c r="B46" s="31" t="s">
        <v>62</v>
      </c>
      <c r="C46" s="28" t="s">
        <v>69</v>
      </c>
      <c r="D46" s="3" t="s">
        <v>70</v>
      </c>
      <c r="E46" s="3"/>
      <c r="F46" s="3"/>
      <c r="G46" s="3"/>
      <c r="H46" s="3"/>
    </row>
    <row r="49" spans="2:8" ht="15" customHeight="1">
      <c r="B49" s="2" t="s">
        <v>71</v>
      </c>
      <c r="C49" s="2"/>
      <c r="D49" s="2"/>
      <c r="E49" s="2"/>
      <c r="F49" s="2"/>
      <c r="G49" s="2"/>
      <c r="H49" s="2"/>
    </row>
  </sheetData>
  <mergeCells count="31">
    <mergeCell ref="B49:H49"/>
    <mergeCell ref="B42:H42"/>
    <mergeCell ref="D43:H43"/>
    <mergeCell ref="D44:H44"/>
    <mergeCell ref="D45:H45"/>
    <mergeCell ref="D46:H46"/>
    <mergeCell ref="E35:H35"/>
    <mergeCell ref="E36:H36"/>
    <mergeCell ref="E37:H37"/>
    <mergeCell ref="E38:H38"/>
    <mergeCell ref="E39:H39"/>
    <mergeCell ref="E30:H30"/>
    <mergeCell ref="E31:H31"/>
    <mergeCell ref="E32:H32"/>
    <mergeCell ref="E33:H33"/>
    <mergeCell ref="E34:H34"/>
    <mergeCell ref="C23:H23"/>
    <mergeCell ref="C24:H24"/>
    <mergeCell ref="B27:H27"/>
    <mergeCell ref="E28:H28"/>
    <mergeCell ref="E29:H29"/>
    <mergeCell ref="B15:H17"/>
    <mergeCell ref="B19:H19"/>
    <mergeCell ref="C20:H20"/>
    <mergeCell ref="C21:H21"/>
    <mergeCell ref="C22:H22"/>
    <mergeCell ref="B4:H4"/>
    <mergeCell ref="B5:H5"/>
    <mergeCell ref="B6:H6"/>
    <mergeCell ref="B10:H10"/>
    <mergeCell ref="B11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00"/>
  <sheetViews>
    <sheetView zoomScale="125" zoomScaleNormal="100" workbookViewId="0">
      <pane ySplit="7" topLeftCell="A87" activePane="bottomLeft" state="frozen"/>
      <selection pane="bottomLeft" activeCell="H73" sqref="H73"/>
    </sheetView>
  </sheetViews>
  <sheetFormatPr baseColWidth="10" defaultColWidth="8.6640625" defaultRowHeight="15"/>
  <cols>
    <col min="1" max="1" width="2" customWidth="1"/>
    <col min="2" max="2" width="9" customWidth="1"/>
    <col min="3" max="3" width="38" customWidth="1"/>
    <col min="4" max="4" width="64" customWidth="1"/>
    <col min="5" max="5" width="18" customWidth="1"/>
  </cols>
  <sheetData>
    <row r="2" spans="2:6" ht="3.75" customHeight="1">
      <c r="B2" s="15"/>
      <c r="C2" s="15"/>
      <c r="D2" s="15"/>
      <c r="E2" s="15"/>
      <c r="F2" s="15"/>
    </row>
    <row r="4" spans="2:6" ht="31.5" customHeight="1">
      <c r="B4" s="1" t="s">
        <v>72</v>
      </c>
      <c r="C4" s="1"/>
      <c r="D4" s="1"/>
      <c r="E4" s="1"/>
      <c r="F4" s="1"/>
    </row>
    <row r="5" spans="2:6" ht="19.5" customHeight="1">
      <c r="B5" s="12" t="s">
        <v>73</v>
      </c>
      <c r="C5" s="12"/>
      <c r="D5" s="12"/>
      <c r="E5" s="12"/>
      <c r="F5" s="12"/>
    </row>
    <row r="7" spans="2:6" ht="30" customHeight="1">
      <c r="B7" s="32" t="s">
        <v>74</v>
      </c>
      <c r="C7" s="32" t="s">
        <v>75</v>
      </c>
      <c r="D7" s="32" t="s">
        <v>76</v>
      </c>
      <c r="E7" s="32" t="s">
        <v>77</v>
      </c>
    </row>
    <row r="8" spans="2:6" ht="36" customHeight="1">
      <c r="B8" s="33" t="s">
        <v>7</v>
      </c>
      <c r="C8" s="59" t="s">
        <v>78</v>
      </c>
      <c r="D8" s="59"/>
      <c r="E8" s="34">
        <f>SUM(E9:E16)</f>
        <v>135000000</v>
      </c>
    </row>
    <row r="9" spans="2:6" ht="36" customHeight="1">
      <c r="B9" s="35" t="s">
        <v>79</v>
      </c>
      <c r="C9" s="36" t="s">
        <v>80</v>
      </c>
      <c r="D9" s="37" t="s">
        <v>81</v>
      </c>
      <c r="E9" s="38">
        <v>25000000</v>
      </c>
    </row>
    <row r="10" spans="2:6" ht="36" customHeight="1">
      <c r="B10" s="39" t="s">
        <v>82</v>
      </c>
      <c r="C10" s="40" t="s">
        <v>83</v>
      </c>
      <c r="D10" s="41" t="s">
        <v>84</v>
      </c>
      <c r="E10" s="42">
        <v>15000000</v>
      </c>
    </row>
    <row r="11" spans="2:6" ht="36" customHeight="1">
      <c r="B11" s="35" t="s">
        <v>85</v>
      </c>
      <c r="C11" s="36" t="s">
        <v>86</v>
      </c>
      <c r="D11" s="37" t="s">
        <v>87</v>
      </c>
      <c r="E11" s="38">
        <v>15000000</v>
      </c>
    </row>
    <row r="12" spans="2:6" ht="36" customHeight="1">
      <c r="B12" s="39" t="s">
        <v>88</v>
      </c>
      <c r="C12" s="43" t="s">
        <v>89</v>
      </c>
      <c r="D12" s="41" t="s">
        <v>90</v>
      </c>
      <c r="E12" s="42">
        <v>20000000</v>
      </c>
    </row>
    <row r="13" spans="2:6" ht="36" customHeight="1">
      <c r="B13" s="35" t="s">
        <v>91</v>
      </c>
      <c r="C13" s="36" t="s">
        <v>92</v>
      </c>
      <c r="D13" s="37" t="s">
        <v>93</v>
      </c>
      <c r="E13" s="38">
        <v>10000000</v>
      </c>
    </row>
    <row r="14" spans="2:6" ht="36" customHeight="1">
      <c r="B14" s="39" t="s">
        <v>94</v>
      </c>
      <c r="C14" s="40" t="s">
        <v>95</v>
      </c>
      <c r="D14" s="41" t="s">
        <v>96</v>
      </c>
      <c r="E14" s="42">
        <v>25000000</v>
      </c>
    </row>
    <row r="15" spans="2:6" ht="36" customHeight="1">
      <c r="B15" s="35" t="s">
        <v>97</v>
      </c>
      <c r="C15" s="36" t="s">
        <v>98</v>
      </c>
      <c r="D15" s="37" t="s">
        <v>99</v>
      </c>
      <c r="E15" s="38">
        <v>10000000</v>
      </c>
    </row>
    <row r="16" spans="2:6" ht="36" customHeight="1">
      <c r="B16" s="39" t="s">
        <v>100</v>
      </c>
      <c r="C16" s="40" t="s">
        <v>101</v>
      </c>
      <c r="D16" s="41" t="s">
        <v>102</v>
      </c>
      <c r="E16" s="42">
        <v>15000000</v>
      </c>
    </row>
    <row r="18" spans="2:5" ht="36" customHeight="1">
      <c r="B18" s="33" t="s">
        <v>9</v>
      </c>
      <c r="C18" s="59" t="s">
        <v>103</v>
      </c>
      <c r="D18" s="59"/>
      <c r="E18" s="34">
        <f>SUM(E19:E27)</f>
        <v>140000000</v>
      </c>
    </row>
    <row r="19" spans="2:5" ht="36" customHeight="1">
      <c r="B19" s="35" t="s">
        <v>104</v>
      </c>
      <c r="C19" s="36" t="s">
        <v>105</v>
      </c>
      <c r="D19" s="37" t="s">
        <v>106</v>
      </c>
      <c r="E19" s="38">
        <v>15000000</v>
      </c>
    </row>
    <row r="20" spans="2:5" ht="36" customHeight="1">
      <c r="B20" s="39" t="s">
        <v>107</v>
      </c>
      <c r="C20" s="43" t="s">
        <v>108</v>
      </c>
      <c r="D20" s="41" t="s">
        <v>109</v>
      </c>
      <c r="E20" s="42">
        <v>15000000</v>
      </c>
    </row>
    <row r="21" spans="2:5" ht="36" customHeight="1">
      <c r="B21" s="35" t="s">
        <v>110</v>
      </c>
      <c r="C21" s="36" t="s">
        <v>111</v>
      </c>
      <c r="D21" s="37" t="s">
        <v>112</v>
      </c>
      <c r="E21" s="38">
        <v>20000000</v>
      </c>
    </row>
    <row r="22" spans="2:5" ht="36" customHeight="1">
      <c r="B22" s="39" t="s">
        <v>113</v>
      </c>
      <c r="C22" s="40" t="s">
        <v>114</v>
      </c>
      <c r="D22" s="41" t="s">
        <v>115</v>
      </c>
      <c r="E22" s="42">
        <v>20000000</v>
      </c>
    </row>
    <row r="23" spans="2:5" ht="36" customHeight="1">
      <c r="B23" s="35" t="s">
        <v>116</v>
      </c>
      <c r="C23" s="36" t="s">
        <v>117</v>
      </c>
      <c r="D23" s="37" t="s">
        <v>118</v>
      </c>
      <c r="E23" s="38">
        <v>15000000</v>
      </c>
    </row>
    <row r="24" spans="2:5" ht="36" customHeight="1">
      <c r="B24" s="39" t="s">
        <v>119</v>
      </c>
      <c r="C24" s="40" t="s">
        <v>120</v>
      </c>
      <c r="D24" s="41" t="s">
        <v>121</v>
      </c>
      <c r="E24" s="42">
        <v>10000000</v>
      </c>
    </row>
    <row r="25" spans="2:5" ht="36" customHeight="1">
      <c r="B25" s="35" t="s">
        <v>122</v>
      </c>
      <c r="C25" s="44" t="s">
        <v>123</v>
      </c>
      <c r="D25" s="37" t="s">
        <v>124</v>
      </c>
      <c r="E25" s="38">
        <v>15000000</v>
      </c>
    </row>
    <row r="26" spans="2:5" ht="36" customHeight="1">
      <c r="B26" s="39" t="s">
        <v>125</v>
      </c>
      <c r="C26" s="40" t="s">
        <v>126</v>
      </c>
      <c r="D26" s="45" t="s">
        <v>127</v>
      </c>
      <c r="E26" s="42">
        <v>10000000</v>
      </c>
    </row>
    <row r="27" spans="2:5" ht="36" customHeight="1">
      <c r="B27" s="35" t="s">
        <v>128</v>
      </c>
      <c r="C27" s="36" t="s">
        <v>129</v>
      </c>
      <c r="D27" s="37" t="s">
        <v>130</v>
      </c>
      <c r="E27" s="38">
        <v>20000000</v>
      </c>
    </row>
    <row r="29" spans="2:5" ht="36" customHeight="1">
      <c r="B29" s="33" t="s">
        <v>11</v>
      </c>
      <c r="C29" s="59" t="s">
        <v>131</v>
      </c>
      <c r="D29" s="59"/>
      <c r="E29" s="34">
        <f>SUM(E30:E35)</f>
        <v>80000000</v>
      </c>
    </row>
    <row r="30" spans="2:5" ht="36" customHeight="1">
      <c r="B30" s="39" t="s">
        <v>132</v>
      </c>
      <c r="C30" s="40" t="s">
        <v>133</v>
      </c>
      <c r="D30" s="41" t="s">
        <v>134</v>
      </c>
      <c r="E30" s="42">
        <v>15000000</v>
      </c>
    </row>
    <row r="31" spans="2:5" ht="36" customHeight="1">
      <c r="B31" s="35" t="s">
        <v>135</v>
      </c>
      <c r="C31" s="36" t="s">
        <v>136</v>
      </c>
      <c r="D31" s="37" t="s">
        <v>137</v>
      </c>
      <c r="E31" s="38">
        <v>15000000</v>
      </c>
    </row>
    <row r="32" spans="2:5" ht="36" customHeight="1">
      <c r="B32" s="39" t="s">
        <v>138</v>
      </c>
      <c r="C32" s="40" t="s">
        <v>139</v>
      </c>
      <c r="D32" s="41" t="s">
        <v>140</v>
      </c>
      <c r="E32" s="42">
        <v>10000000</v>
      </c>
    </row>
    <row r="33" spans="2:5" ht="36" customHeight="1">
      <c r="B33" s="35" t="s">
        <v>141</v>
      </c>
      <c r="C33" s="36" t="s">
        <v>142</v>
      </c>
      <c r="D33" s="46" t="s">
        <v>143</v>
      </c>
      <c r="E33" s="38">
        <v>15000000</v>
      </c>
    </row>
    <row r="34" spans="2:5" ht="36" customHeight="1">
      <c r="B34" s="39" t="s">
        <v>144</v>
      </c>
      <c r="C34" s="40" t="s">
        <v>145</v>
      </c>
      <c r="D34" s="41" t="s">
        <v>146</v>
      </c>
      <c r="E34" s="42">
        <v>10000000</v>
      </c>
    </row>
    <row r="35" spans="2:5" ht="36" customHeight="1">
      <c r="B35" s="35" t="s">
        <v>147</v>
      </c>
      <c r="C35" s="36" t="s">
        <v>148</v>
      </c>
      <c r="D35" s="37" t="s">
        <v>149</v>
      </c>
      <c r="E35" s="38">
        <v>15000000</v>
      </c>
    </row>
    <row r="37" spans="2:5" ht="36" customHeight="1">
      <c r="B37" s="33" t="s">
        <v>13</v>
      </c>
      <c r="C37" s="59" t="s">
        <v>150</v>
      </c>
      <c r="D37" s="59"/>
      <c r="E37" s="34">
        <f>SUM(E38:E43)</f>
        <v>75000000</v>
      </c>
    </row>
    <row r="38" spans="2:5" ht="36" customHeight="1">
      <c r="B38" s="39" t="s">
        <v>151</v>
      </c>
      <c r="C38" s="40" t="s">
        <v>152</v>
      </c>
      <c r="D38" s="41" t="s">
        <v>153</v>
      </c>
      <c r="E38" s="42">
        <v>10000000</v>
      </c>
    </row>
    <row r="39" spans="2:5" ht="36" customHeight="1">
      <c r="B39" s="35" t="s">
        <v>154</v>
      </c>
      <c r="C39" s="36" t="s">
        <v>155</v>
      </c>
      <c r="D39" s="37" t="s">
        <v>156</v>
      </c>
      <c r="E39" s="38">
        <v>10000000</v>
      </c>
    </row>
    <row r="40" spans="2:5" ht="36" customHeight="1">
      <c r="B40" s="39" t="s">
        <v>157</v>
      </c>
      <c r="C40" s="40" t="s">
        <v>158</v>
      </c>
      <c r="D40" s="41" t="s">
        <v>159</v>
      </c>
      <c r="E40" s="42">
        <v>15000000</v>
      </c>
    </row>
    <row r="41" spans="2:5" ht="36" customHeight="1">
      <c r="B41" s="35" t="s">
        <v>160</v>
      </c>
      <c r="C41" s="36" t="s">
        <v>161</v>
      </c>
      <c r="D41" s="46" t="s">
        <v>162</v>
      </c>
      <c r="E41" s="38">
        <v>15000000</v>
      </c>
    </row>
    <row r="42" spans="2:5" ht="36" customHeight="1">
      <c r="B42" s="39" t="s">
        <v>163</v>
      </c>
      <c r="C42" s="40" t="s">
        <v>164</v>
      </c>
      <c r="D42" s="45" t="s">
        <v>165</v>
      </c>
      <c r="E42" s="42">
        <v>15000000</v>
      </c>
    </row>
    <row r="43" spans="2:5" ht="36" customHeight="1">
      <c r="B43" s="35" t="s">
        <v>166</v>
      </c>
      <c r="C43" s="36" t="s">
        <v>167</v>
      </c>
      <c r="D43" s="37" t="s">
        <v>168</v>
      </c>
      <c r="E43" s="38">
        <v>10000000</v>
      </c>
    </row>
    <row r="45" spans="2:5" ht="36" customHeight="1">
      <c r="B45" s="33" t="s">
        <v>15</v>
      </c>
      <c r="C45" s="59" t="s">
        <v>169</v>
      </c>
      <c r="D45" s="59"/>
      <c r="E45" s="34">
        <f>SUM(E46:E50)</f>
        <v>60000000</v>
      </c>
    </row>
    <row r="46" spans="2:5" ht="36" customHeight="1">
      <c r="B46" s="39" t="s">
        <v>170</v>
      </c>
      <c r="C46" s="40" t="s">
        <v>171</v>
      </c>
      <c r="D46" s="45" t="s">
        <v>172</v>
      </c>
      <c r="E46" s="42">
        <v>10000000</v>
      </c>
    </row>
    <row r="47" spans="2:5" ht="36" customHeight="1">
      <c r="B47" s="35" t="s">
        <v>173</v>
      </c>
      <c r="C47" s="36" t="s">
        <v>174</v>
      </c>
      <c r="D47" s="37" t="s">
        <v>175</v>
      </c>
      <c r="E47" s="38">
        <v>15000000</v>
      </c>
    </row>
    <row r="48" spans="2:5" ht="36" customHeight="1">
      <c r="B48" s="39" t="s">
        <v>176</v>
      </c>
      <c r="C48" s="40" t="s">
        <v>177</v>
      </c>
      <c r="D48" s="41" t="s">
        <v>178</v>
      </c>
      <c r="E48" s="42">
        <v>15000000</v>
      </c>
    </row>
    <row r="49" spans="2:5" ht="36" customHeight="1">
      <c r="B49" s="35" t="s">
        <v>179</v>
      </c>
      <c r="C49" s="36" t="s">
        <v>180</v>
      </c>
      <c r="D49" s="37" t="s">
        <v>181</v>
      </c>
      <c r="E49" s="38">
        <v>10000000</v>
      </c>
    </row>
    <row r="50" spans="2:5" ht="36" customHeight="1">
      <c r="B50" s="39" t="s">
        <v>182</v>
      </c>
      <c r="C50" s="40" t="s">
        <v>183</v>
      </c>
      <c r="D50" s="41" t="s">
        <v>184</v>
      </c>
      <c r="E50" s="42">
        <v>10000000</v>
      </c>
    </row>
    <row r="52" spans="2:5" ht="36" customHeight="1">
      <c r="B52" s="33" t="s">
        <v>37</v>
      </c>
      <c r="C52" s="59" t="s">
        <v>185</v>
      </c>
      <c r="D52" s="59"/>
      <c r="E52" s="34">
        <f>SUM(E53:E59)</f>
        <v>100000000</v>
      </c>
    </row>
    <row r="53" spans="2:5" ht="36" customHeight="1">
      <c r="B53" s="35" t="s">
        <v>186</v>
      </c>
      <c r="C53" s="36" t="s">
        <v>187</v>
      </c>
      <c r="D53" s="37" t="s">
        <v>188</v>
      </c>
      <c r="E53" s="38">
        <v>15000000</v>
      </c>
    </row>
    <row r="54" spans="2:5" ht="36" customHeight="1">
      <c r="B54" s="39" t="s">
        <v>189</v>
      </c>
      <c r="C54" s="40" t="s">
        <v>190</v>
      </c>
      <c r="D54" s="41" t="s">
        <v>191</v>
      </c>
      <c r="E54" s="42">
        <v>10000000</v>
      </c>
    </row>
    <row r="55" spans="2:5" ht="36" customHeight="1">
      <c r="B55" s="35" t="s">
        <v>192</v>
      </c>
      <c r="C55" s="36" t="s">
        <v>193</v>
      </c>
      <c r="D55" s="37" t="s">
        <v>194</v>
      </c>
      <c r="E55" s="38">
        <v>15000000</v>
      </c>
    </row>
    <row r="56" spans="2:5" ht="36" customHeight="1">
      <c r="B56" s="39" t="s">
        <v>195</v>
      </c>
      <c r="C56" s="40" t="s">
        <v>196</v>
      </c>
      <c r="D56" s="41" t="s">
        <v>197</v>
      </c>
      <c r="E56" s="42">
        <v>10000000</v>
      </c>
    </row>
    <row r="57" spans="2:5" ht="36" customHeight="1">
      <c r="B57" s="35" t="s">
        <v>198</v>
      </c>
      <c r="C57" s="36" t="s">
        <v>199</v>
      </c>
      <c r="D57" s="37" t="s">
        <v>200</v>
      </c>
      <c r="E57" s="38">
        <v>10000000</v>
      </c>
    </row>
    <row r="58" spans="2:5" ht="36" customHeight="1">
      <c r="B58" s="39" t="s">
        <v>201</v>
      </c>
      <c r="C58" s="40" t="s">
        <v>202</v>
      </c>
      <c r="D58" s="41" t="s">
        <v>203</v>
      </c>
      <c r="E58" s="42">
        <v>15000000</v>
      </c>
    </row>
    <row r="59" spans="2:5" ht="36" customHeight="1">
      <c r="B59" s="35" t="s">
        <v>204</v>
      </c>
      <c r="C59" s="36" t="s">
        <v>205</v>
      </c>
      <c r="D59" s="37" t="s">
        <v>206</v>
      </c>
      <c r="E59" s="38">
        <v>25000000</v>
      </c>
    </row>
    <row r="61" spans="2:5" ht="36" customHeight="1">
      <c r="B61" s="33" t="s">
        <v>41</v>
      </c>
      <c r="C61" s="59" t="s">
        <v>207</v>
      </c>
      <c r="D61" s="59"/>
      <c r="E61" s="34">
        <f>SUM(E62:E66)</f>
        <v>55000000</v>
      </c>
    </row>
    <row r="62" spans="2:5" ht="36" customHeight="1">
      <c r="B62" s="39" t="s">
        <v>208</v>
      </c>
      <c r="C62" s="40" t="s">
        <v>209</v>
      </c>
      <c r="D62" s="41" t="s">
        <v>210</v>
      </c>
      <c r="E62" s="42">
        <v>10000000</v>
      </c>
    </row>
    <row r="63" spans="2:5" ht="36" customHeight="1">
      <c r="B63" s="35" t="s">
        <v>211</v>
      </c>
      <c r="C63" s="36" t="s">
        <v>212</v>
      </c>
      <c r="D63" s="37" t="s">
        <v>213</v>
      </c>
      <c r="E63" s="38">
        <v>10000000</v>
      </c>
    </row>
    <row r="64" spans="2:5" ht="36" customHeight="1">
      <c r="B64" s="39" t="s">
        <v>214</v>
      </c>
      <c r="C64" s="40" t="s">
        <v>215</v>
      </c>
      <c r="D64" s="41" t="s">
        <v>216</v>
      </c>
      <c r="E64" s="42">
        <v>10000000</v>
      </c>
    </row>
    <row r="65" spans="2:5" ht="36" customHeight="1">
      <c r="B65" s="35" t="s">
        <v>217</v>
      </c>
      <c r="C65" s="36" t="s">
        <v>218</v>
      </c>
      <c r="D65" s="37" t="s">
        <v>219</v>
      </c>
      <c r="E65" s="38">
        <v>10000000</v>
      </c>
    </row>
    <row r="66" spans="2:5" ht="36" customHeight="1">
      <c r="B66" s="39" t="s">
        <v>220</v>
      </c>
      <c r="C66" s="40" t="s">
        <v>221</v>
      </c>
      <c r="D66" s="41" t="s">
        <v>222</v>
      </c>
      <c r="E66" s="42">
        <v>15000000</v>
      </c>
    </row>
    <row r="68" spans="2:5" ht="36" customHeight="1">
      <c r="B68" s="33" t="s">
        <v>45</v>
      </c>
      <c r="C68" s="59" t="s">
        <v>223</v>
      </c>
      <c r="D68" s="59"/>
      <c r="E68" s="34">
        <f>SUM(E69:E75)</f>
        <v>80000000</v>
      </c>
    </row>
    <row r="69" spans="2:5" ht="36" customHeight="1">
      <c r="B69" s="35" t="s">
        <v>224</v>
      </c>
      <c r="C69" s="44" t="s">
        <v>313</v>
      </c>
      <c r="D69" s="37" t="s">
        <v>226</v>
      </c>
      <c r="E69" s="38">
        <v>20000000</v>
      </c>
    </row>
    <row r="70" spans="2:5" ht="36" customHeight="1">
      <c r="B70" s="39" t="s">
        <v>227</v>
      </c>
      <c r="C70" s="40" t="s">
        <v>228</v>
      </c>
      <c r="D70" s="41" t="s">
        <v>229</v>
      </c>
      <c r="E70" s="42">
        <v>10000000</v>
      </c>
    </row>
    <row r="71" spans="2:5" ht="36" customHeight="1">
      <c r="B71" s="35" t="s">
        <v>230</v>
      </c>
      <c r="C71" s="36" t="s">
        <v>231</v>
      </c>
      <c r="D71" s="37" t="s">
        <v>232</v>
      </c>
      <c r="E71" s="38">
        <v>10000000</v>
      </c>
    </row>
    <row r="72" spans="2:5" ht="36" customHeight="1">
      <c r="B72" s="39" t="s">
        <v>233</v>
      </c>
      <c r="C72" s="40" t="s">
        <v>234</v>
      </c>
      <c r="D72" s="41" t="s">
        <v>235</v>
      </c>
      <c r="E72" s="42">
        <v>10000000</v>
      </c>
    </row>
    <row r="73" spans="2:5" ht="36" customHeight="1">
      <c r="B73" s="35" t="s">
        <v>236</v>
      </c>
      <c r="C73" s="36" t="s">
        <v>237</v>
      </c>
      <c r="D73" s="37" t="s">
        <v>238</v>
      </c>
      <c r="E73" s="38">
        <v>10000000</v>
      </c>
    </row>
    <row r="74" spans="2:5" ht="36" customHeight="1">
      <c r="B74" s="39" t="s">
        <v>239</v>
      </c>
      <c r="C74" s="40" t="s">
        <v>240</v>
      </c>
      <c r="D74" s="41" t="s">
        <v>241</v>
      </c>
      <c r="E74" s="42">
        <v>10000000</v>
      </c>
    </row>
    <row r="75" spans="2:5" ht="36" customHeight="1">
      <c r="B75" s="35" t="s">
        <v>242</v>
      </c>
      <c r="C75" s="36" t="s">
        <v>243</v>
      </c>
      <c r="D75" s="37" t="s">
        <v>244</v>
      </c>
      <c r="E75" s="38">
        <v>10000000</v>
      </c>
    </row>
    <row r="77" spans="2:5" ht="36" customHeight="1">
      <c r="B77" s="33" t="s">
        <v>49</v>
      </c>
      <c r="C77" s="59" t="s">
        <v>245</v>
      </c>
      <c r="D77" s="59"/>
      <c r="E77" s="34">
        <f>SUM(E78:E82)</f>
        <v>65000000</v>
      </c>
    </row>
    <row r="78" spans="2:5" ht="36" customHeight="1">
      <c r="B78" s="39" t="s">
        <v>246</v>
      </c>
      <c r="C78" s="40" t="s">
        <v>247</v>
      </c>
      <c r="D78" s="41" t="s">
        <v>248</v>
      </c>
      <c r="E78" s="42">
        <v>15000000</v>
      </c>
    </row>
    <row r="79" spans="2:5" ht="36" customHeight="1">
      <c r="B79" s="35" t="s">
        <v>249</v>
      </c>
      <c r="C79" s="36" t="s">
        <v>250</v>
      </c>
      <c r="D79" s="37" t="s">
        <v>251</v>
      </c>
      <c r="E79" s="38">
        <v>15000000</v>
      </c>
    </row>
    <row r="80" spans="2:5" ht="36" customHeight="1">
      <c r="B80" s="39" t="s">
        <v>252</v>
      </c>
      <c r="C80" s="40" t="s">
        <v>253</v>
      </c>
      <c r="D80" s="41" t="s">
        <v>254</v>
      </c>
      <c r="E80" s="42">
        <v>10000000</v>
      </c>
    </row>
    <row r="81" spans="2:5" ht="36" customHeight="1">
      <c r="B81" s="35" t="s">
        <v>255</v>
      </c>
      <c r="C81" s="36" t="s">
        <v>256</v>
      </c>
      <c r="D81" s="37" t="s">
        <v>257</v>
      </c>
      <c r="E81" s="38">
        <v>15000000</v>
      </c>
    </row>
    <row r="82" spans="2:5" ht="36" customHeight="1">
      <c r="B82" s="39" t="s">
        <v>258</v>
      </c>
      <c r="C82" s="40" t="s">
        <v>259</v>
      </c>
      <c r="D82" s="41" t="s">
        <v>260</v>
      </c>
      <c r="E82" s="42">
        <v>10000000</v>
      </c>
    </row>
    <row r="84" spans="2:5" ht="36" customHeight="1">
      <c r="B84" s="33" t="s">
        <v>53</v>
      </c>
      <c r="C84" s="60" t="s">
        <v>261</v>
      </c>
      <c r="D84" s="60"/>
      <c r="E84" s="34">
        <f>SUM(E85:E89)</f>
        <v>60000000</v>
      </c>
    </row>
    <row r="85" spans="2:5" ht="36" customHeight="1">
      <c r="B85" s="35" t="s">
        <v>262</v>
      </c>
      <c r="C85" s="36" t="s">
        <v>263</v>
      </c>
      <c r="D85" s="37" t="s">
        <v>264</v>
      </c>
      <c r="E85" s="38">
        <v>15000000</v>
      </c>
    </row>
    <row r="86" spans="2:5" ht="36" customHeight="1">
      <c r="B86" s="39" t="s">
        <v>265</v>
      </c>
      <c r="C86" s="40" t="s">
        <v>266</v>
      </c>
      <c r="D86" s="41" t="s">
        <v>267</v>
      </c>
      <c r="E86" s="42">
        <v>10000000</v>
      </c>
    </row>
    <row r="87" spans="2:5" ht="36" customHeight="1">
      <c r="B87" s="35" t="s">
        <v>268</v>
      </c>
      <c r="C87" s="36" t="s">
        <v>269</v>
      </c>
      <c r="D87" s="37" t="s">
        <v>270</v>
      </c>
      <c r="E87" s="38">
        <v>10000000</v>
      </c>
    </row>
    <row r="88" spans="2:5" ht="36" customHeight="1">
      <c r="B88" s="39" t="s">
        <v>271</v>
      </c>
      <c r="C88" s="40" t="s">
        <v>272</v>
      </c>
      <c r="D88" s="41" t="s">
        <v>273</v>
      </c>
      <c r="E88" s="42">
        <v>10000000</v>
      </c>
    </row>
    <row r="89" spans="2:5" ht="36" customHeight="1">
      <c r="B89" s="35" t="s">
        <v>274</v>
      </c>
      <c r="C89" s="44" t="s">
        <v>275</v>
      </c>
      <c r="D89" s="37" t="s">
        <v>276</v>
      </c>
      <c r="E89" s="38">
        <v>15000000</v>
      </c>
    </row>
    <row r="91" spans="2:5" ht="36" customHeight="1">
      <c r="B91" s="33" t="s">
        <v>57</v>
      </c>
      <c r="C91" s="59" t="s">
        <v>277</v>
      </c>
      <c r="D91" s="59"/>
      <c r="E91" s="34">
        <f>SUM(E92:E97)</f>
        <v>70000000</v>
      </c>
    </row>
    <row r="92" spans="2:5" ht="36" customHeight="1">
      <c r="B92" s="39" t="s">
        <v>278</v>
      </c>
      <c r="C92" s="40" t="s">
        <v>279</v>
      </c>
      <c r="D92" s="41" t="s">
        <v>280</v>
      </c>
      <c r="E92" s="42">
        <v>10000000</v>
      </c>
    </row>
    <row r="93" spans="2:5" ht="36" customHeight="1">
      <c r="B93" s="35" t="s">
        <v>281</v>
      </c>
      <c r="C93" s="36" t="s">
        <v>282</v>
      </c>
      <c r="D93" s="37" t="s">
        <v>283</v>
      </c>
      <c r="E93" s="38">
        <v>15000000</v>
      </c>
    </row>
    <row r="94" spans="2:5" ht="36" customHeight="1">
      <c r="B94" s="39" t="s">
        <v>284</v>
      </c>
      <c r="C94" s="40" t="s">
        <v>285</v>
      </c>
      <c r="D94" s="41" t="s">
        <v>286</v>
      </c>
      <c r="E94" s="42">
        <v>15000000</v>
      </c>
    </row>
    <row r="95" spans="2:5" ht="36" customHeight="1">
      <c r="B95" s="35" t="s">
        <v>287</v>
      </c>
      <c r="C95" s="36" t="s">
        <v>288</v>
      </c>
      <c r="D95" s="37" t="s">
        <v>289</v>
      </c>
      <c r="E95" s="38">
        <v>10000000</v>
      </c>
    </row>
    <row r="96" spans="2:5" ht="36" customHeight="1">
      <c r="B96" s="39" t="s">
        <v>290</v>
      </c>
      <c r="C96" s="40" t="s">
        <v>291</v>
      </c>
      <c r="D96" s="45" t="s">
        <v>292</v>
      </c>
      <c r="E96" s="42">
        <v>10000000</v>
      </c>
    </row>
    <row r="97" spans="2:5" ht="36" customHeight="1">
      <c r="B97" s="35" t="s">
        <v>293</v>
      </c>
      <c r="C97" s="36" t="s">
        <v>294</v>
      </c>
      <c r="D97" s="37" t="s">
        <v>295</v>
      </c>
      <c r="E97" s="38">
        <v>10000000</v>
      </c>
    </row>
    <row r="100" spans="2:5" ht="42" customHeight="1">
      <c r="B100" s="61" t="s">
        <v>296</v>
      </c>
      <c r="C100" s="61"/>
      <c r="D100" s="61"/>
      <c r="E100" s="47">
        <f>E8+E18+E29+E37+E45+E52+E61+E68+E77+E84+E91</f>
        <v>920000000</v>
      </c>
    </row>
  </sheetData>
  <mergeCells count="14">
    <mergeCell ref="C77:D77"/>
    <mergeCell ref="C84:D84"/>
    <mergeCell ref="C91:D91"/>
    <mergeCell ref="B100:D100"/>
    <mergeCell ref="C37:D37"/>
    <mergeCell ref="C45:D45"/>
    <mergeCell ref="C52:D52"/>
    <mergeCell ref="C61:D61"/>
    <mergeCell ref="C68:D68"/>
    <mergeCell ref="B4:F4"/>
    <mergeCell ref="B5:F5"/>
    <mergeCell ref="C8:D8"/>
    <mergeCell ref="C18:D18"/>
    <mergeCell ref="C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00"/>
  <sheetViews>
    <sheetView zoomScaleNormal="100" workbookViewId="0">
      <pane ySplit="7" topLeftCell="A8" activePane="bottomLeft" state="frozen"/>
      <selection pane="bottomLeft" activeCell="D43" sqref="D43"/>
    </sheetView>
  </sheetViews>
  <sheetFormatPr baseColWidth="10" defaultColWidth="8.6640625" defaultRowHeight="15"/>
  <cols>
    <col min="1" max="1" width="2" customWidth="1"/>
    <col min="2" max="2" width="9" customWidth="1"/>
    <col min="3" max="3" width="38" customWidth="1"/>
    <col min="4" max="4" width="64" customWidth="1"/>
    <col min="5" max="5" width="18" customWidth="1"/>
  </cols>
  <sheetData>
    <row r="2" spans="2:6" ht="3.75" customHeight="1">
      <c r="B2" s="15"/>
      <c r="C2" s="15"/>
      <c r="D2" s="15"/>
      <c r="E2" s="15"/>
      <c r="F2" s="15"/>
    </row>
    <row r="4" spans="2:6" ht="31.5" customHeight="1">
      <c r="B4" s="1" t="s">
        <v>297</v>
      </c>
      <c r="C4" s="1"/>
      <c r="D4" s="1"/>
      <c r="E4" s="1"/>
      <c r="F4" s="1"/>
    </row>
    <row r="5" spans="2:6" ht="19.5" customHeight="1">
      <c r="B5" s="12" t="s">
        <v>298</v>
      </c>
      <c r="C5" s="12"/>
      <c r="D5" s="12"/>
      <c r="E5" s="12"/>
      <c r="F5" s="12"/>
    </row>
    <row r="7" spans="2:6" ht="30" customHeight="1">
      <c r="B7" s="32" t="s">
        <v>74</v>
      </c>
      <c r="C7" s="32" t="s">
        <v>75</v>
      </c>
      <c r="D7" s="32" t="s">
        <v>76</v>
      </c>
      <c r="E7" s="32" t="s">
        <v>77</v>
      </c>
    </row>
    <row r="8" spans="2:6" ht="36" customHeight="1">
      <c r="B8" s="33" t="s">
        <v>7</v>
      </c>
      <c r="C8" s="59" t="s">
        <v>78</v>
      </c>
      <c r="D8" s="59"/>
      <c r="E8" s="34">
        <f>SUM(E9:E16)</f>
        <v>229500000</v>
      </c>
    </row>
    <row r="9" spans="2:6" ht="36" customHeight="1">
      <c r="B9" s="35" t="s">
        <v>79</v>
      </c>
      <c r="C9" s="36" t="s">
        <v>80</v>
      </c>
      <c r="D9" s="37" t="s">
        <v>81</v>
      </c>
      <c r="E9" s="38">
        <v>42500000</v>
      </c>
    </row>
    <row r="10" spans="2:6" ht="36" customHeight="1">
      <c r="B10" s="39" t="s">
        <v>82</v>
      </c>
      <c r="C10" s="40" t="s">
        <v>83</v>
      </c>
      <c r="D10" s="41" t="s">
        <v>84</v>
      </c>
      <c r="E10" s="42">
        <v>25500000</v>
      </c>
    </row>
    <row r="11" spans="2:6" ht="36" customHeight="1">
      <c r="B11" s="35" t="s">
        <v>85</v>
      </c>
      <c r="C11" s="36" t="s">
        <v>86</v>
      </c>
      <c r="D11" s="37" t="s">
        <v>87</v>
      </c>
      <c r="E11" s="38">
        <v>25500000</v>
      </c>
    </row>
    <row r="12" spans="2:6" ht="36" customHeight="1">
      <c r="B12" s="39" t="s">
        <v>88</v>
      </c>
      <c r="C12" s="43" t="s">
        <v>89</v>
      </c>
      <c r="D12" s="41" t="s">
        <v>90</v>
      </c>
      <c r="E12" s="42">
        <v>34000000</v>
      </c>
    </row>
    <row r="13" spans="2:6" ht="36" customHeight="1">
      <c r="B13" s="35" t="s">
        <v>91</v>
      </c>
      <c r="C13" s="36" t="s">
        <v>92</v>
      </c>
      <c r="D13" s="37" t="s">
        <v>93</v>
      </c>
      <c r="E13" s="38">
        <v>17000000</v>
      </c>
    </row>
    <row r="14" spans="2:6" ht="36" customHeight="1">
      <c r="B14" s="39" t="s">
        <v>94</v>
      </c>
      <c r="C14" s="40" t="s">
        <v>95</v>
      </c>
      <c r="D14" s="41" t="s">
        <v>96</v>
      </c>
      <c r="E14" s="42">
        <v>42500000</v>
      </c>
    </row>
    <row r="15" spans="2:6" ht="36" customHeight="1">
      <c r="B15" s="35" t="s">
        <v>97</v>
      </c>
      <c r="C15" s="36" t="s">
        <v>98</v>
      </c>
      <c r="D15" s="37" t="s">
        <v>99</v>
      </c>
      <c r="E15" s="38">
        <v>17000000</v>
      </c>
    </row>
    <row r="16" spans="2:6" ht="36" customHeight="1">
      <c r="B16" s="39" t="s">
        <v>100</v>
      </c>
      <c r="C16" s="40" t="s">
        <v>101</v>
      </c>
      <c r="D16" s="41" t="s">
        <v>102</v>
      </c>
      <c r="E16" s="42">
        <v>25500000</v>
      </c>
    </row>
    <row r="18" spans="2:5" ht="36" customHeight="1">
      <c r="B18" s="33" t="s">
        <v>9</v>
      </c>
      <c r="C18" s="59" t="s">
        <v>103</v>
      </c>
      <c r="D18" s="59"/>
      <c r="E18" s="34">
        <f>SUM(E19:E27)</f>
        <v>238000000</v>
      </c>
    </row>
    <row r="19" spans="2:5" ht="36" customHeight="1">
      <c r="B19" s="35" t="s">
        <v>104</v>
      </c>
      <c r="C19" s="36" t="s">
        <v>105</v>
      </c>
      <c r="D19" s="37" t="s">
        <v>106</v>
      </c>
      <c r="E19" s="38">
        <v>25500000</v>
      </c>
    </row>
    <row r="20" spans="2:5" ht="36" customHeight="1">
      <c r="B20" s="39" t="s">
        <v>107</v>
      </c>
      <c r="C20" s="43" t="s">
        <v>108</v>
      </c>
      <c r="D20" s="41" t="s">
        <v>109</v>
      </c>
      <c r="E20" s="42">
        <v>25500000</v>
      </c>
    </row>
    <row r="21" spans="2:5" ht="36" customHeight="1">
      <c r="B21" s="35" t="s">
        <v>110</v>
      </c>
      <c r="C21" s="36" t="s">
        <v>299</v>
      </c>
      <c r="D21" s="37" t="s">
        <v>112</v>
      </c>
      <c r="E21" s="38">
        <v>34000000</v>
      </c>
    </row>
    <row r="22" spans="2:5" ht="36" customHeight="1">
      <c r="B22" s="39" t="s">
        <v>113</v>
      </c>
      <c r="C22" s="40" t="s">
        <v>114</v>
      </c>
      <c r="D22" s="41" t="s">
        <v>300</v>
      </c>
      <c r="E22" s="42">
        <v>34000000</v>
      </c>
    </row>
    <row r="23" spans="2:5" ht="36" customHeight="1">
      <c r="B23" s="35" t="s">
        <v>116</v>
      </c>
      <c r="C23" s="36" t="s">
        <v>117</v>
      </c>
      <c r="D23" s="37" t="s">
        <v>118</v>
      </c>
      <c r="E23" s="38">
        <v>25500000</v>
      </c>
    </row>
    <row r="24" spans="2:5" ht="36" customHeight="1">
      <c r="B24" s="39" t="s">
        <v>119</v>
      </c>
      <c r="C24" s="40" t="s">
        <v>120</v>
      </c>
      <c r="D24" s="41" t="s">
        <v>121</v>
      </c>
      <c r="E24" s="42">
        <v>17000000</v>
      </c>
    </row>
    <row r="25" spans="2:5" ht="36" customHeight="1">
      <c r="B25" s="35" t="s">
        <v>122</v>
      </c>
      <c r="C25" s="44" t="s">
        <v>123</v>
      </c>
      <c r="D25" s="37" t="s">
        <v>124</v>
      </c>
      <c r="E25" s="38">
        <v>25500000</v>
      </c>
    </row>
    <row r="26" spans="2:5" ht="36" customHeight="1">
      <c r="B26" s="39" t="s">
        <v>125</v>
      </c>
      <c r="C26" s="40" t="s">
        <v>126</v>
      </c>
      <c r="D26" s="45" t="s">
        <v>127</v>
      </c>
      <c r="E26" s="42">
        <v>17000000</v>
      </c>
    </row>
    <row r="27" spans="2:5" ht="36" customHeight="1">
      <c r="B27" s="35" t="s">
        <v>128</v>
      </c>
      <c r="C27" s="36" t="s">
        <v>129</v>
      </c>
      <c r="D27" s="37" t="s">
        <v>130</v>
      </c>
      <c r="E27" s="38">
        <v>34000000</v>
      </c>
    </row>
    <row r="29" spans="2:5" ht="36" customHeight="1">
      <c r="B29" s="33" t="s">
        <v>11</v>
      </c>
      <c r="C29" s="59" t="s">
        <v>131</v>
      </c>
      <c r="D29" s="59"/>
      <c r="E29" s="34">
        <f>SUM(E30:E35)</f>
        <v>136000000</v>
      </c>
    </row>
    <row r="30" spans="2:5" ht="36" customHeight="1">
      <c r="B30" s="39" t="s">
        <v>132</v>
      </c>
      <c r="C30" s="40" t="s">
        <v>133</v>
      </c>
      <c r="D30" s="41" t="s">
        <v>134</v>
      </c>
      <c r="E30" s="42">
        <v>25500000</v>
      </c>
    </row>
    <row r="31" spans="2:5" ht="36" customHeight="1">
      <c r="B31" s="35" t="s">
        <v>135</v>
      </c>
      <c r="C31" s="36" t="s">
        <v>136</v>
      </c>
      <c r="D31" s="37" t="s">
        <v>137</v>
      </c>
      <c r="E31" s="38">
        <v>25500000</v>
      </c>
    </row>
    <row r="32" spans="2:5" ht="36" customHeight="1">
      <c r="B32" s="39" t="s">
        <v>138</v>
      </c>
      <c r="C32" s="40" t="s">
        <v>139</v>
      </c>
      <c r="D32" s="41" t="s">
        <v>140</v>
      </c>
      <c r="E32" s="42">
        <v>17000000</v>
      </c>
    </row>
    <row r="33" spans="2:5" ht="36" customHeight="1">
      <c r="B33" s="35" t="s">
        <v>141</v>
      </c>
      <c r="C33" s="36" t="s">
        <v>142</v>
      </c>
      <c r="D33" s="46" t="s">
        <v>143</v>
      </c>
      <c r="E33" s="38">
        <v>25500000</v>
      </c>
    </row>
    <row r="34" spans="2:5" ht="36" customHeight="1">
      <c r="B34" s="39" t="s">
        <v>144</v>
      </c>
      <c r="C34" s="40" t="s">
        <v>145</v>
      </c>
      <c r="D34" s="41" t="s">
        <v>146</v>
      </c>
      <c r="E34" s="42">
        <v>17000000</v>
      </c>
    </row>
    <row r="35" spans="2:5" ht="36" customHeight="1">
      <c r="B35" s="35" t="s">
        <v>147</v>
      </c>
      <c r="C35" s="36" t="s">
        <v>148</v>
      </c>
      <c r="D35" s="37" t="s">
        <v>149</v>
      </c>
      <c r="E35" s="38">
        <v>25500000</v>
      </c>
    </row>
    <row r="37" spans="2:5" ht="36" customHeight="1">
      <c r="B37" s="33" t="s">
        <v>13</v>
      </c>
      <c r="C37" s="59" t="s">
        <v>150</v>
      </c>
      <c r="D37" s="59"/>
      <c r="E37" s="34">
        <f>SUM(E38:E43)</f>
        <v>127500000</v>
      </c>
    </row>
    <row r="38" spans="2:5" ht="36" customHeight="1">
      <c r="B38" s="39" t="s">
        <v>151</v>
      </c>
      <c r="C38" s="40" t="s">
        <v>152</v>
      </c>
      <c r="D38" s="41" t="s">
        <v>153</v>
      </c>
      <c r="E38" s="42">
        <v>17000000</v>
      </c>
    </row>
    <row r="39" spans="2:5" ht="36" customHeight="1">
      <c r="B39" s="35" t="s">
        <v>154</v>
      </c>
      <c r="C39" s="36" t="s">
        <v>155</v>
      </c>
      <c r="D39" s="37" t="s">
        <v>156</v>
      </c>
      <c r="E39" s="38">
        <v>17000000</v>
      </c>
    </row>
    <row r="40" spans="2:5" ht="36" customHeight="1">
      <c r="B40" s="39" t="s">
        <v>157</v>
      </c>
      <c r="C40" s="40" t="s">
        <v>158</v>
      </c>
      <c r="D40" s="41" t="s">
        <v>159</v>
      </c>
      <c r="E40" s="42">
        <v>25500000</v>
      </c>
    </row>
    <row r="41" spans="2:5" ht="36" customHeight="1">
      <c r="B41" s="35" t="s">
        <v>160</v>
      </c>
      <c r="C41" s="36" t="s">
        <v>161</v>
      </c>
      <c r="D41" s="46" t="s">
        <v>162</v>
      </c>
      <c r="E41" s="38">
        <v>25500000</v>
      </c>
    </row>
    <row r="42" spans="2:5" ht="36" customHeight="1">
      <c r="B42" s="39" t="s">
        <v>163</v>
      </c>
      <c r="C42" s="40" t="s">
        <v>164</v>
      </c>
      <c r="D42" s="45" t="s">
        <v>165</v>
      </c>
      <c r="E42" s="42">
        <v>25500000</v>
      </c>
    </row>
    <row r="43" spans="2:5" ht="36" customHeight="1">
      <c r="B43" s="35" t="s">
        <v>166</v>
      </c>
      <c r="C43" s="36" t="s">
        <v>167</v>
      </c>
      <c r="D43" s="37" t="s">
        <v>168</v>
      </c>
      <c r="E43" s="38">
        <v>17000000</v>
      </c>
    </row>
    <row r="45" spans="2:5" ht="36" customHeight="1">
      <c r="B45" s="33" t="s">
        <v>15</v>
      </c>
      <c r="C45" s="59" t="s">
        <v>169</v>
      </c>
      <c r="D45" s="59"/>
      <c r="E45" s="34">
        <f>SUM(E46:E50)</f>
        <v>102000000</v>
      </c>
    </row>
    <row r="46" spans="2:5" ht="36" customHeight="1">
      <c r="B46" s="39" t="s">
        <v>170</v>
      </c>
      <c r="C46" s="40" t="s">
        <v>171</v>
      </c>
      <c r="D46" s="45" t="s">
        <v>172</v>
      </c>
      <c r="E46" s="42">
        <v>17000000</v>
      </c>
    </row>
    <row r="47" spans="2:5" ht="36" customHeight="1">
      <c r="B47" s="35" t="s">
        <v>173</v>
      </c>
      <c r="C47" s="36" t="s">
        <v>174</v>
      </c>
      <c r="D47" s="37" t="s">
        <v>175</v>
      </c>
      <c r="E47" s="38">
        <v>25500000</v>
      </c>
    </row>
    <row r="48" spans="2:5" ht="36" customHeight="1">
      <c r="B48" s="39" t="s">
        <v>176</v>
      </c>
      <c r="C48" s="40" t="s">
        <v>177</v>
      </c>
      <c r="D48" s="41" t="s">
        <v>178</v>
      </c>
      <c r="E48" s="42">
        <v>25500000</v>
      </c>
    </row>
    <row r="49" spans="2:5" ht="36" customHeight="1">
      <c r="B49" s="35" t="s">
        <v>179</v>
      </c>
      <c r="C49" s="36" t="s">
        <v>180</v>
      </c>
      <c r="D49" s="37" t="s">
        <v>181</v>
      </c>
      <c r="E49" s="38">
        <v>17000000</v>
      </c>
    </row>
    <row r="50" spans="2:5" ht="36" customHeight="1">
      <c r="B50" s="39" t="s">
        <v>182</v>
      </c>
      <c r="C50" s="40" t="s">
        <v>183</v>
      </c>
      <c r="D50" s="41" t="s">
        <v>184</v>
      </c>
      <c r="E50" s="42">
        <v>17000000</v>
      </c>
    </row>
    <row r="52" spans="2:5" ht="36" customHeight="1">
      <c r="B52" s="33" t="s">
        <v>37</v>
      </c>
      <c r="C52" s="59" t="s">
        <v>185</v>
      </c>
      <c r="D52" s="59"/>
      <c r="E52" s="34">
        <f>SUM(E53:E59)</f>
        <v>170000000</v>
      </c>
    </row>
    <row r="53" spans="2:5" ht="36" customHeight="1">
      <c r="B53" s="35" t="s">
        <v>186</v>
      </c>
      <c r="C53" s="36" t="s">
        <v>187</v>
      </c>
      <c r="D53" s="37" t="s">
        <v>188</v>
      </c>
      <c r="E53" s="38">
        <v>25500000</v>
      </c>
    </row>
    <row r="54" spans="2:5" ht="36" customHeight="1">
      <c r="B54" s="39" t="s">
        <v>189</v>
      </c>
      <c r="C54" s="40" t="s">
        <v>190</v>
      </c>
      <c r="D54" s="41" t="s">
        <v>191</v>
      </c>
      <c r="E54" s="42">
        <v>17000000</v>
      </c>
    </row>
    <row r="55" spans="2:5" ht="36" customHeight="1">
      <c r="B55" s="35" t="s">
        <v>192</v>
      </c>
      <c r="C55" s="36" t="s">
        <v>193</v>
      </c>
      <c r="D55" s="37" t="s">
        <v>194</v>
      </c>
      <c r="E55" s="38">
        <v>25500000</v>
      </c>
    </row>
    <row r="56" spans="2:5" ht="36" customHeight="1">
      <c r="B56" s="39" t="s">
        <v>195</v>
      </c>
      <c r="C56" s="40" t="s">
        <v>196</v>
      </c>
      <c r="D56" s="41" t="s">
        <v>197</v>
      </c>
      <c r="E56" s="42">
        <v>17000000</v>
      </c>
    </row>
    <row r="57" spans="2:5" ht="36" customHeight="1">
      <c r="B57" s="35" t="s">
        <v>198</v>
      </c>
      <c r="C57" s="36" t="s">
        <v>199</v>
      </c>
      <c r="D57" s="37" t="s">
        <v>200</v>
      </c>
      <c r="E57" s="38">
        <v>17000000</v>
      </c>
    </row>
    <row r="58" spans="2:5" ht="36" customHeight="1">
      <c r="B58" s="39" t="s">
        <v>201</v>
      </c>
      <c r="C58" s="40" t="s">
        <v>202</v>
      </c>
      <c r="D58" s="41" t="s">
        <v>203</v>
      </c>
      <c r="E58" s="42">
        <v>25500000</v>
      </c>
    </row>
    <row r="59" spans="2:5" ht="36" customHeight="1">
      <c r="B59" s="35" t="s">
        <v>204</v>
      </c>
      <c r="C59" s="36" t="s">
        <v>205</v>
      </c>
      <c r="D59" s="37" t="s">
        <v>206</v>
      </c>
      <c r="E59" s="38">
        <v>42500000</v>
      </c>
    </row>
    <row r="61" spans="2:5" ht="36" customHeight="1">
      <c r="B61" s="33" t="s">
        <v>41</v>
      </c>
      <c r="C61" s="59" t="s">
        <v>207</v>
      </c>
      <c r="D61" s="59"/>
      <c r="E61" s="34">
        <f>SUM(E62:E66)</f>
        <v>93500000</v>
      </c>
    </row>
    <row r="62" spans="2:5" ht="36" customHeight="1">
      <c r="B62" s="39" t="s">
        <v>208</v>
      </c>
      <c r="C62" s="40" t="s">
        <v>209</v>
      </c>
      <c r="D62" s="41" t="s">
        <v>210</v>
      </c>
      <c r="E62" s="42">
        <v>17000000</v>
      </c>
    </row>
    <row r="63" spans="2:5" ht="36" customHeight="1">
      <c r="B63" s="35" t="s">
        <v>211</v>
      </c>
      <c r="C63" s="36" t="s">
        <v>212</v>
      </c>
      <c r="D63" s="37" t="s">
        <v>213</v>
      </c>
      <c r="E63" s="38">
        <v>17000000</v>
      </c>
    </row>
    <row r="64" spans="2:5" ht="36" customHeight="1">
      <c r="B64" s="39" t="s">
        <v>214</v>
      </c>
      <c r="C64" s="40" t="s">
        <v>215</v>
      </c>
      <c r="D64" s="41" t="s">
        <v>216</v>
      </c>
      <c r="E64" s="42">
        <v>17000000</v>
      </c>
    </row>
    <row r="65" spans="2:5" ht="36" customHeight="1">
      <c r="B65" s="35" t="s">
        <v>217</v>
      </c>
      <c r="C65" s="36" t="s">
        <v>218</v>
      </c>
      <c r="D65" s="37" t="s">
        <v>219</v>
      </c>
      <c r="E65" s="38">
        <v>17000000</v>
      </c>
    </row>
    <row r="66" spans="2:5" ht="36" customHeight="1">
      <c r="B66" s="39" t="s">
        <v>220</v>
      </c>
      <c r="C66" s="40" t="s">
        <v>221</v>
      </c>
      <c r="D66" s="41" t="s">
        <v>222</v>
      </c>
      <c r="E66" s="42">
        <v>25500000</v>
      </c>
    </row>
    <row r="68" spans="2:5" ht="36" customHeight="1">
      <c r="B68" s="33" t="s">
        <v>45</v>
      </c>
      <c r="C68" s="59" t="s">
        <v>223</v>
      </c>
      <c r="D68" s="59"/>
      <c r="E68" s="34">
        <f>SUM(E69:E75)</f>
        <v>136000000</v>
      </c>
    </row>
    <row r="69" spans="2:5" ht="36" customHeight="1">
      <c r="B69" s="35" t="s">
        <v>224</v>
      </c>
      <c r="C69" s="44" t="s">
        <v>225</v>
      </c>
      <c r="D69" s="37" t="s">
        <v>226</v>
      </c>
      <c r="E69" s="38">
        <v>34000000</v>
      </c>
    </row>
    <row r="70" spans="2:5" ht="36" customHeight="1">
      <c r="B70" s="39" t="s">
        <v>227</v>
      </c>
      <c r="C70" s="40" t="s">
        <v>228</v>
      </c>
      <c r="D70" s="41" t="s">
        <v>229</v>
      </c>
      <c r="E70" s="42">
        <v>17000000</v>
      </c>
    </row>
    <row r="71" spans="2:5" ht="36" customHeight="1">
      <c r="B71" s="35" t="s">
        <v>230</v>
      </c>
      <c r="C71" s="36" t="s">
        <v>231</v>
      </c>
      <c r="D71" s="37" t="s">
        <v>232</v>
      </c>
      <c r="E71" s="38">
        <v>17000000</v>
      </c>
    </row>
    <row r="72" spans="2:5" ht="36" customHeight="1">
      <c r="B72" s="39" t="s">
        <v>233</v>
      </c>
      <c r="C72" s="40" t="s">
        <v>234</v>
      </c>
      <c r="D72" s="41" t="s">
        <v>235</v>
      </c>
      <c r="E72" s="42">
        <v>17000000</v>
      </c>
    </row>
    <row r="73" spans="2:5" ht="36" customHeight="1">
      <c r="B73" s="35" t="s">
        <v>236</v>
      </c>
      <c r="C73" s="36" t="s">
        <v>237</v>
      </c>
      <c r="D73" s="37" t="s">
        <v>238</v>
      </c>
      <c r="E73" s="38">
        <v>17000000</v>
      </c>
    </row>
    <row r="74" spans="2:5" ht="36" customHeight="1">
      <c r="B74" s="39" t="s">
        <v>239</v>
      </c>
      <c r="C74" s="40" t="s">
        <v>240</v>
      </c>
      <c r="D74" s="41" t="s">
        <v>241</v>
      </c>
      <c r="E74" s="42">
        <v>17000000</v>
      </c>
    </row>
    <row r="75" spans="2:5" ht="36" customHeight="1">
      <c r="B75" s="35" t="s">
        <v>242</v>
      </c>
      <c r="C75" s="36" t="s">
        <v>243</v>
      </c>
      <c r="D75" s="37" t="s">
        <v>244</v>
      </c>
      <c r="E75" s="38">
        <v>17000000</v>
      </c>
    </row>
    <row r="77" spans="2:5" ht="36" customHeight="1">
      <c r="B77" s="33" t="s">
        <v>49</v>
      </c>
      <c r="C77" s="59" t="s">
        <v>245</v>
      </c>
      <c r="D77" s="59"/>
      <c r="E77" s="34">
        <f>SUM(E78:E82)</f>
        <v>110500000</v>
      </c>
    </row>
    <row r="78" spans="2:5" ht="36" customHeight="1">
      <c r="B78" s="39" t="s">
        <v>246</v>
      </c>
      <c r="C78" s="40" t="s">
        <v>247</v>
      </c>
      <c r="D78" s="41" t="s">
        <v>248</v>
      </c>
      <c r="E78" s="42">
        <v>25500000</v>
      </c>
    </row>
    <row r="79" spans="2:5" ht="36" customHeight="1">
      <c r="B79" s="35" t="s">
        <v>249</v>
      </c>
      <c r="C79" s="36" t="s">
        <v>250</v>
      </c>
      <c r="D79" s="37" t="s">
        <v>251</v>
      </c>
      <c r="E79" s="38">
        <v>25500000</v>
      </c>
    </row>
    <row r="80" spans="2:5" ht="36" customHeight="1">
      <c r="B80" s="39" t="s">
        <v>252</v>
      </c>
      <c r="C80" s="40" t="s">
        <v>253</v>
      </c>
      <c r="D80" s="41" t="s">
        <v>254</v>
      </c>
      <c r="E80" s="42">
        <v>17000000</v>
      </c>
    </row>
    <row r="81" spans="2:5" ht="36" customHeight="1">
      <c r="B81" s="35" t="s">
        <v>255</v>
      </c>
      <c r="C81" s="36" t="s">
        <v>256</v>
      </c>
      <c r="D81" s="37" t="s">
        <v>257</v>
      </c>
      <c r="E81" s="38">
        <v>25500000</v>
      </c>
    </row>
    <row r="82" spans="2:5" ht="36" customHeight="1">
      <c r="B82" s="39" t="s">
        <v>258</v>
      </c>
      <c r="C82" s="40" t="s">
        <v>259</v>
      </c>
      <c r="D82" s="41" t="s">
        <v>260</v>
      </c>
      <c r="E82" s="42">
        <v>17000000</v>
      </c>
    </row>
    <row r="84" spans="2:5" ht="36" customHeight="1">
      <c r="B84" s="33" t="s">
        <v>53</v>
      </c>
      <c r="C84" s="60" t="s">
        <v>261</v>
      </c>
      <c r="D84" s="60"/>
      <c r="E84" s="34">
        <f>SUM(E85:E89)</f>
        <v>102000000</v>
      </c>
    </row>
    <row r="85" spans="2:5" ht="36" customHeight="1">
      <c r="B85" s="35" t="s">
        <v>262</v>
      </c>
      <c r="C85" s="36" t="s">
        <v>263</v>
      </c>
      <c r="D85" s="37" t="s">
        <v>264</v>
      </c>
      <c r="E85" s="38">
        <v>25500000</v>
      </c>
    </row>
    <row r="86" spans="2:5" ht="36" customHeight="1">
      <c r="B86" s="39" t="s">
        <v>265</v>
      </c>
      <c r="C86" s="40" t="s">
        <v>266</v>
      </c>
      <c r="D86" s="41" t="s">
        <v>267</v>
      </c>
      <c r="E86" s="42">
        <v>17000000</v>
      </c>
    </row>
    <row r="87" spans="2:5" ht="36" customHeight="1">
      <c r="B87" s="35" t="s">
        <v>268</v>
      </c>
      <c r="C87" s="36" t="s">
        <v>269</v>
      </c>
      <c r="D87" s="37" t="s">
        <v>270</v>
      </c>
      <c r="E87" s="38">
        <v>17000000</v>
      </c>
    </row>
    <row r="88" spans="2:5" ht="36" customHeight="1">
      <c r="B88" s="39" t="s">
        <v>271</v>
      </c>
      <c r="C88" s="40" t="s">
        <v>272</v>
      </c>
      <c r="D88" s="41" t="s">
        <v>273</v>
      </c>
      <c r="E88" s="42">
        <v>17000000</v>
      </c>
    </row>
    <row r="89" spans="2:5" ht="36" customHeight="1">
      <c r="B89" s="35" t="s">
        <v>274</v>
      </c>
      <c r="C89" s="44" t="s">
        <v>301</v>
      </c>
      <c r="D89" s="37" t="s">
        <v>302</v>
      </c>
      <c r="E89" s="38">
        <v>25500000</v>
      </c>
    </row>
    <row r="91" spans="2:5" ht="36" customHeight="1">
      <c r="B91" s="33" t="s">
        <v>57</v>
      </c>
      <c r="C91" s="59" t="s">
        <v>277</v>
      </c>
      <c r="D91" s="59"/>
      <c r="E91" s="34">
        <f>SUM(E92:E97)</f>
        <v>119000000</v>
      </c>
    </row>
    <row r="92" spans="2:5" ht="36" customHeight="1">
      <c r="B92" s="39" t="s">
        <v>278</v>
      </c>
      <c r="C92" s="40" t="s">
        <v>279</v>
      </c>
      <c r="D92" s="41" t="s">
        <v>280</v>
      </c>
      <c r="E92" s="42">
        <v>17000000</v>
      </c>
    </row>
    <row r="93" spans="2:5" ht="36" customHeight="1">
      <c r="B93" s="35" t="s">
        <v>281</v>
      </c>
      <c r="C93" s="36" t="s">
        <v>282</v>
      </c>
      <c r="D93" s="37" t="s">
        <v>283</v>
      </c>
      <c r="E93" s="38">
        <v>25500000</v>
      </c>
    </row>
    <row r="94" spans="2:5" ht="36" customHeight="1">
      <c r="B94" s="39" t="s">
        <v>284</v>
      </c>
      <c r="C94" s="40" t="s">
        <v>285</v>
      </c>
      <c r="D94" s="41" t="s">
        <v>286</v>
      </c>
      <c r="E94" s="42">
        <v>25500000</v>
      </c>
    </row>
    <row r="95" spans="2:5" ht="36" customHeight="1">
      <c r="B95" s="35" t="s">
        <v>287</v>
      </c>
      <c r="C95" s="36" t="s">
        <v>288</v>
      </c>
      <c r="D95" s="37" t="s">
        <v>289</v>
      </c>
      <c r="E95" s="38">
        <v>17000000</v>
      </c>
    </row>
    <row r="96" spans="2:5" ht="36" customHeight="1">
      <c r="B96" s="39" t="s">
        <v>290</v>
      </c>
      <c r="C96" s="40" t="s">
        <v>291</v>
      </c>
      <c r="D96" s="45" t="s">
        <v>292</v>
      </c>
      <c r="E96" s="42">
        <v>17000000</v>
      </c>
    </row>
    <row r="97" spans="2:5" ht="36" customHeight="1">
      <c r="B97" s="35" t="s">
        <v>293</v>
      </c>
      <c r="C97" s="36" t="s">
        <v>294</v>
      </c>
      <c r="D97" s="37" t="s">
        <v>295</v>
      </c>
      <c r="E97" s="38">
        <v>17000000</v>
      </c>
    </row>
    <row r="100" spans="2:5" ht="42" customHeight="1">
      <c r="B100" s="61" t="s">
        <v>296</v>
      </c>
      <c r="C100" s="61"/>
      <c r="D100" s="61"/>
      <c r="E100" s="47">
        <f>E8+E18+E29+E37+E45+E52+E61+E68+E77+E84+E91</f>
        <v>1564000000</v>
      </c>
    </row>
  </sheetData>
  <mergeCells count="14">
    <mergeCell ref="C77:D77"/>
    <mergeCell ref="C84:D84"/>
    <mergeCell ref="C91:D91"/>
    <mergeCell ref="B100:D100"/>
    <mergeCell ref="C37:D37"/>
    <mergeCell ref="C45:D45"/>
    <mergeCell ref="C52:D52"/>
    <mergeCell ref="C61:D61"/>
    <mergeCell ref="C68:D68"/>
    <mergeCell ref="B4:F4"/>
    <mergeCell ref="B5:F5"/>
    <mergeCell ref="C8:D8"/>
    <mergeCell ref="C18:D18"/>
    <mergeCell ref="C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00"/>
  <sheetViews>
    <sheetView zoomScale="75" zoomScaleNormal="100" workbookViewId="0">
      <pane ySplit="7" topLeftCell="A8" activePane="bottomLeft" state="frozen"/>
      <selection pane="bottomLeft" activeCell="C45" sqref="C45:D45"/>
    </sheetView>
  </sheetViews>
  <sheetFormatPr baseColWidth="10" defaultColWidth="8.6640625" defaultRowHeight="15"/>
  <cols>
    <col min="1" max="1" width="2" customWidth="1"/>
    <col min="2" max="2" width="9" customWidth="1"/>
    <col min="3" max="3" width="38" customWidth="1"/>
    <col min="4" max="4" width="64" customWidth="1"/>
    <col min="5" max="5" width="18" customWidth="1"/>
  </cols>
  <sheetData>
    <row r="2" spans="2:6" ht="3.75" customHeight="1">
      <c r="B2" s="15"/>
      <c r="C2" s="15"/>
      <c r="D2" s="15"/>
      <c r="E2" s="15"/>
      <c r="F2" s="15"/>
    </row>
    <row r="4" spans="2:6" ht="31.5" customHeight="1">
      <c r="B4" s="1" t="s">
        <v>303</v>
      </c>
      <c r="C4" s="1"/>
      <c r="D4" s="1"/>
      <c r="E4" s="1"/>
      <c r="F4" s="1"/>
    </row>
    <row r="5" spans="2:6" ht="19.5" customHeight="1">
      <c r="B5" s="12" t="s">
        <v>304</v>
      </c>
      <c r="C5" s="12"/>
      <c r="D5" s="12"/>
      <c r="E5" s="12"/>
      <c r="F5" s="12"/>
    </row>
    <row r="7" spans="2:6" ht="30" customHeight="1">
      <c r="B7" s="32" t="s">
        <v>74</v>
      </c>
      <c r="C7" s="32" t="s">
        <v>75</v>
      </c>
      <c r="D7" s="32" t="s">
        <v>76</v>
      </c>
      <c r="E7" s="32" t="s">
        <v>77</v>
      </c>
    </row>
    <row r="8" spans="2:6" ht="36" customHeight="1">
      <c r="B8" s="33" t="s">
        <v>7</v>
      </c>
      <c r="C8" s="59" t="s">
        <v>78</v>
      </c>
      <c r="D8" s="59"/>
      <c r="E8" s="34">
        <f>SUM(E9:E16)</f>
        <v>405000000</v>
      </c>
    </row>
    <row r="9" spans="2:6" ht="36" customHeight="1">
      <c r="B9" s="35" t="s">
        <v>79</v>
      </c>
      <c r="C9" s="36" t="s">
        <v>80</v>
      </c>
      <c r="D9" s="37" t="s">
        <v>81</v>
      </c>
      <c r="E9" s="38">
        <v>75000000</v>
      </c>
    </row>
    <row r="10" spans="2:6" ht="36" customHeight="1">
      <c r="B10" s="39" t="s">
        <v>82</v>
      </c>
      <c r="C10" s="40" t="s">
        <v>83</v>
      </c>
      <c r="D10" s="41" t="s">
        <v>84</v>
      </c>
      <c r="E10" s="42">
        <v>45000000</v>
      </c>
    </row>
    <row r="11" spans="2:6" ht="36" customHeight="1">
      <c r="B11" s="35" t="s">
        <v>85</v>
      </c>
      <c r="C11" s="36" t="s">
        <v>86</v>
      </c>
      <c r="D11" s="37" t="s">
        <v>87</v>
      </c>
      <c r="E11" s="38">
        <v>45000000</v>
      </c>
    </row>
    <row r="12" spans="2:6" ht="36" customHeight="1">
      <c r="B12" s="39" t="s">
        <v>88</v>
      </c>
      <c r="C12" s="43" t="s">
        <v>89</v>
      </c>
      <c r="D12" s="41" t="s">
        <v>90</v>
      </c>
      <c r="E12" s="42">
        <v>60000000</v>
      </c>
    </row>
    <row r="13" spans="2:6" ht="36" customHeight="1">
      <c r="B13" s="35" t="s">
        <v>91</v>
      </c>
      <c r="C13" s="36" t="s">
        <v>92</v>
      </c>
      <c r="D13" s="37" t="s">
        <v>93</v>
      </c>
      <c r="E13" s="38">
        <v>30000000</v>
      </c>
    </row>
    <row r="14" spans="2:6" ht="36" customHeight="1">
      <c r="B14" s="39" t="s">
        <v>94</v>
      </c>
      <c r="C14" s="40" t="s">
        <v>95</v>
      </c>
      <c r="D14" s="41" t="s">
        <v>96</v>
      </c>
      <c r="E14" s="42">
        <v>75000000</v>
      </c>
    </row>
    <row r="15" spans="2:6" ht="36" customHeight="1">
      <c r="B15" s="35" t="s">
        <v>97</v>
      </c>
      <c r="C15" s="36" t="s">
        <v>98</v>
      </c>
      <c r="D15" s="37" t="s">
        <v>99</v>
      </c>
      <c r="E15" s="38">
        <v>30000000</v>
      </c>
    </row>
    <row r="16" spans="2:6" ht="36" customHeight="1">
      <c r="B16" s="39" t="s">
        <v>100</v>
      </c>
      <c r="C16" s="40" t="s">
        <v>101</v>
      </c>
      <c r="D16" s="41" t="s">
        <v>102</v>
      </c>
      <c r="E16" s="42">
        <v>45000000</v>
      </c>
    </row>
    <row r="18" spans="2:5" ht="36" customHeight="1">
      <c r="B18" s="33" t="s">
        <v>9</v>
      </c>
      <c r="C18" s="59" t="s">
        <v>103</v>
      </c>
      <c r="D18" s="59"/>
      <c r="E18" s="34">
        <f>SUM(E19:E27)</f>
        <v>420000000</v>
      </c>
    </row>
    <row r="19" spans="2:5" ht="36" customHeight="1">
      <c r="B19" s="35" t="s">
        <v>104</v>
      </c>
      <c r="C19" s="36" t="s">
        <v>105</v>
      </c>
      <c r="D19" s="37" t="s">
        <v>106</v>
      </c>
      <c r="E19" s="38">
        <v>45000000</v>
      </c>
    </row>
    <row r="20" spans="2:5" ht="36" customHeight="1">
      <c r="B20" s="39" t="s">
        <v>107</v>
      </c>
      <c r="C20" s="43" t="s">
        <v>108</v>
      </c>
      <c r="D20" s="41" t="s">
        <v>109</v>
      </c>
      <c r="E20" s="42">
        <v>45000000</v>
      </c>
    </row>
    <row r="21" spans="2:5" ht="36" customHeight="1">
      <c r="B21" s="35" t="s">
        <v>110</v>
      </c>
      <c r="C21" s="36" t="s">
        <v>299</v>
      </c>
      <c r="D21" s="37" t="s">
        <v>112</v>
      </c>
      <c r="E21" s="38">
        <v>60000000</v>
      </c>
    </row>
    <row r="22" spans="2:5" ht="36" customHeight="1">
      <c r="B22" s="39" t="s">
        <v>113</v>
      </c>
      <c r="C22" s="40" t="s">
        <v>114</v>
      </c>
      <c r="D22" s="41" t="s">
        <v>300</v>
      </c>
      <c r="E22" s="42">
        <v>60000000</v>
      </c>
    </row>
    <row r="23" spans="2:5" ht="36" customHeight="1">
      <c r="B23" s="35" t="s">
        <v>116</v>
      </c>
      <c r="C23" s="36" t="s">
        <v>117</v>
      </c>
      <c r="D23" s="37" t="s">
        <v>118</v>
      </c>
      <c r="E23" s="38">
        <v>45000000</v>
      </c>
    </row>
    <row r="24" spans="2:5" ht="36" customHeight="1">
      <c r="B24" s="39" t="s">
        <v>119</v>
      </c>
      <c r="C24" s="40" t="s">
        <v>120</v>
      </c>
      <c r="D24" s="41" t="s">
        <v>121</v>
      </c>
      <c r="E24" s="42">
        <v>30000000</v>
      </c>
    </row>
    <row r="25" spans="2:5" ht="36" customHeight="1">
      <c r="B25" s="35" t="s">
        <v>122</v>
      </c>
      <c r="C25" s="44" t="s">
        <v>123</v>
      </c>
      <c r="D25" s="37" t="s">
        <v>124</v>
      </c>
      <c r="E25" s="38">
        <v>45000000</v>
      </c>
    </row>
    <row r="26" spans="2:5" ht="36" customHeight="1">
      <c r="B26" s="39" t="s">
        <v>125</v>
      </c>
      <c r="C26" s="40" t="s">
        <v>126</v>
      </c>
      <c r="D26" s="45" t="s">
        <v>127</v>
      </c>
      <c r="E26" s="42">
        <v>30000000</v>
      </c>
    </row>
    <row r="27" spans="2:5" ht="36" customHeight="1">
      <c r="B27" s="35" t="s">
        <v>128</v>
      </c>
      <c r="C27" s="36" t="s">
        <v>129</v>
      </c>
      <c r="D27" s="37" t="s">
        <v>130</v>
      </c>
      <c r="E27" s="38">
        <v>60000000</v>
      </c>
    </row>
    <row r="29" spans="2:5" ht="36" customHeight="1">
      <c r="B29" s="33" t="s">
        <v>11</v>
      </c>
      <c r="C29" s="59" t="s">
        <v>131</v>
      </c>
      <c r="D29" s="59"/>
      <c r="E29" s="34">
        <f>SUM(E30:E35)</f>
        <v>240000000</v>
      </c>
    </row>
    <row r="30" spans="2:5" ht="36" customHeight="1">
      <c r="B30" s="39" t="s">
        <v>132</v>
      </c>
      <c r="C30" s="40" t="s">
        <v>133</v>
      </c>
      <c r="D30" s="41" t="s">
        <v>134</v>
      </c>
      <c r="E30" s="42">
        <v>45000000</v>
      </c>
    </row>
    <row r="31" spans="2:5" ht="36" customHeight="1">
      <c r="B31" s="35" t="s">
        <v>135</v>
      </c>
      <c r="C31" s="36" t="s">
        <v>136</v>
      </c>
      <c r="D31" s="37" t="s">
        <v>137</v>
      </c>
      <c r="E31" s="38">
        <v>45000000</v>
      </c>
    </row>
    <row r="32" spans="2:5" ht="36" customHeight="1">
      <c r="B32" s="39" t="s">
        <v>138</v>
      </c>
      <c r="C32" s="40" t="s">
        <v>139</v>
      </c>
      <c r="D32" s="41" t="s">
        <v>140</v>
      </c>
      <c r="E32" s="42">
        <v>30000000</v>
      </c>
    </row>
    <row r="33" spans="2:5" ht="36" customHeight="1">
      <c r="B33" s="35" t="s">
        <v>141</v>
      </c>
      <c r="C33" s="36" t="s">
        <v>142</v>
      </c>
      <c r="D33" s="46" t="s">
        <v>143</v>
      </c>
      <c r="E33" s="38">
        <v>45000000</v>
      </c>
    </row>
    <row r="34" spans="2:5" ht="36" customHeight="1">
      <c r="B34" s="39" t="s">
        <v>144</v>
      </c>
      <c r="C34" s="40" t="s">
        <v>145</v>
      </c>
      <c r="D34" s="41" t="s">
        <v>146</v>
      </c>
      <c r="E34" s="42">
        <v>30000000</v>
      </c>
    </row>
    <row r="35" spans="2:5" ht="36" customHeight="1">
      <c r="B35" s="35" t="s">
        <v>147</v>
      </c>
      <c r="C35" s="36" t="s">
        <v>148</v>
      </c>
      <c r="D35" s="37" t="s">
        <v>149</v>
      </c>
      <c r="E35" s="38">
        <v>45000000</v>
      </c>
    </row>
    <row r="37" spans="2:5" ht="36" customHeight="1">
      <c r="B37" s="33" t="s">
        <v>13</v>
      </c>
      <c r="C37" s="59" t="s">
        <v>150</v>
      </c>
      <c r="D37" s="59"/>
      <c r="E37" s="34">
        <f>SUM(E38:E43)</f>
        <v>225000000</v>
      </c>
    </row>
    <row r="38" spans="2:5" ht="36" customHeight="1">
      <c r="B38" s="39" t="s">
        <v>151</v>
      </c>
      <c r="C38" s="40" t="s">
        <v>152</v>
      </c>
      <c r="D38" s="41" t="s">
        <v>153</v>
      </c>
      <c r="E38" s="42">
        <v>30000000</v>
      </c>
    </row>
    <row r="39" spans="2:5" ht="36" customHeight="1">
      <c r="B39" s="35" t="s">
        <v>154</v>
      </c>
      <c r="C39" s="36" t="s">
        <v>155</v>
      </c>
      <c r="D39" s="37" t="s">
        <v>156</v>
      </c>
      <c r="E39" s="38">
        <v>30000000</v>
      </c>
    </row>
    <row r="40" spans="2:5" ht="36" customHeight="1">
      <c r="B40" s="39" t="s">
        <v>157</v>
      </c>
      <c r="C40" s="40" t="s">
        <v>158</v>
      </c>
      <c r="D40" s="41" t="s">
        <v>159</v>
      </c>
      <c r="E40" s="42">
        <v>45000000</v>
      </c>
    </row>
    <row r="41" spans="2:5" ht="36" customHeight="1">
      <c r="B41" s="35" t="s">
        <v>160</v>
      </c>
      <c r="C41" s="36" t="s">
        <v>161</v>
      </c>
      <c r="D41" s="46" t="s">
        <v>162</v>
      </c>
      <c r="E41" s="38">
        <v>45000000</v>
      </c>
    </row>
    <row r="42" spans="2:5" ht="36" customHeight="1">
      <c r="B42" s="39" t="s">
        <v>163</v>
      </c>
      <c r="C42" s="40" t="s">
        <v>164</v>
      </c>
      <c r="D42" s="45" t="s">
        <v>165</v>
      </c>
      <c r="E42" s="42">
        <v>45000000</v>
      </c>
    </row>
    <row r="43" spans="2:5" ht="36" customHeight="1">
      <c r="B43" s="35" t="s">
        <v>166</v>
      </c>
      <c r="C43" s="36" t="s">
        <v>167</v>
      </c>
      <c r="D43" s="37" t="s">
        <v>168</v>
      </c>
      <c r="E43" s="38">
        <v>30000000</v>
      </c>
    </row>
    <row r="45" spans="2:5" ht="36" customHeight="1">
      <c r="B45" s="33" t="s">
        <v>15</v>
      </c>
      <c r="C45" s="59" t="s">
        <v>169</v>
      </c>
      <c r="D45" s="59"/>
      <c r="E45" s="34">
        <f>SUM(E46:E50)</f>
        <v>180000000</v>
      </c>
    </row>
    <row r="46" spans="2:5" ht="36" customHeight="1">
      <c r="B46" s="39" t="s">
        <v>170</v>
      </c>
      <c r="C46" s="40" t="s">
        <v>171</v>
      </c>
      <c r="D46" s="45" t="s">
        <v>172</v>
      </c>
      <c r="E46" s="42">
        <v>30000000</v>
      </c>
    </row>
    <row r="47" spans="2:5" ht="36" customHeight="1">
      <c r="B47" s="35" t="s">
        <v>173</v>
      </c>
      <c r="C47" s="36" t="s">
        <v>174</v>
      </c>
      <c r="D47" s="37" t="s">
        <v>175</v>
      </c>
      <c r="E47" s="38">
        <v>45000000</v>
      </c>
    </row>
    <row r="48" spans="2:5" ht="36" customHeight="1">
      <c r="B48" s="39" t="s">
        <v>176</v>
      </c>
      <c r="C48" s="40" t="s">
        <v>177</v>
      </c>
      <c r="D48" s="41" t="s">
        <v>178</v>
      </c>
      <c r="E48" s="42">
        <v>45000000</v>
      </c>
    </row>
    <row r="49" spans="2:5" ht="36" customHeight="1">
      <c r="B49" s="35" t="s">
        <v>179</v>
      </c>
      <c r="C49" s="36" t="s">
        <v>180</v>
      </c>
      <c r="D49" s="37" t="s">
        <v>181</v>
      </c>
      <c r="E49" s="38">
        <v>30000000</v>
      </c>
    </row>
    <row r="50" spans="2:5" ht="36" customHeight="1">
      <c r="B50" s="39" t="s">
        <v>182</v>
      </c>
      <c r="C50" s="40" t="s">
        <v>183</v>
      </c>
      <c r="D50" s="41" t="s">
        <v>184</v>
      </c>
      <c r="E50" s="42">
        <v>30000000</v>
      </c>
    </row>
    <row r="52" spans="2:5" ht="36" customHeight="1">
      <c r="B52" s="33" t="s">
        <v>37</v>
      </c>
      <c r="C52" s="59" t="s">
        <v>185</v>
      </c>
      <c r="D52" s="59"/>
      <c r="E52" s="34">
        <f>SUM(E53:E59)</f>
        <v>300000000</v>
      </c>
    </row>
    <row r="53" spans="2:5" ht="36" customHeight="1">
      <c r="B53" s="35" t="s">
        <v>186</v>
      </c>
      <c r="C53" s="36" t="s">
        <v>187</v>
      </c>
      <c r="D53" s="37" t="s">
        <v>188</v>
      </c>
      <c r="E53" s="38">
        <v>45000000</v>
      </c>
    </row>
    <row r="54" spans="2:5" ht="36" customHeight="1">
      <c r="B54" s="39" t="s">
        <v>189</v>
      </c>
      <c r="C54" s="40" t="s">
        <v>190</v>
      </c>
      <c r="D54" s="41" t="s">
        <v>191</v>
      </c>
      <c r="E54" s="42">
        <v>30000000</v>
      </c>
    </row>
    <row r="55" spans="2:5" ht="36" customHeight="1">
      <c r="B55" s="35" t="s">
        <v>192</v>
      </c>
      <c r="C55" s="36" t="s">
        <v>193</v>
      </c>
      <c r="D55" s="37" t="s">
        <v>194</v>
      </c>
      <c r="E55" s="38">
        <v>45000000</v>
      </c>
    </row>
    <row r="56" spans="2:5" ht="36" customHeight="1">
      <c r="B56" s="39" t="s">
        <v>195</v>
      </c>
      <c r="C56" s="40" t="s">
        <v>196</v>
      </c>
      <c r="D56" s="41" t="s">
        <v>197</v>
      </c>
      <c r="E56" s="42">
        <v>30000000</v>
      </c>
    </row>
    <row r="57" spans="2:5" ht="36" customHeight="1">
      <c r="B57" s="35" t="s">
        <v>198</v>
      </c>
      <c r="C57" s="36" t="s">
        <v>199</v>
      </c>
      <c r="D57" s="37" t="s">
        <v>200</v>
      </c>
      <c r="E57" s="38">
        <v>30000000</v>
      </c>
    </row>
    <row r="58" spans="2:5" ht="36" customHeight="1">
      <c r="B58" s="39" t="s">
        <v>201</v>
      </c>
      <c r="C58" s="40" t="s">
        <v>202</v>
      </c>
      <c r="D58" s="41" t="s">
        <v>203</v>
      </c>
      <c r="E58" s="42">
        <v>45000000</v>
      </c>
    </row>
    <row r="59" spans="2:5" ht="36" customHeight="1">
      <c r="B59" s="35" t="s">
        <v>204</v>
      </c>
      <c r="C59" s="36" t="s">
        <v>205</v>
      </c>
      <c r="D59" s="37" t="s">
        <v>206</v>
      </c>
      <c r="E59" s="38">
        <v>75000000</v>
      </c>
    </row>
    <row r="61" spans="2:5" ht="36" customHeight="1">
      <c r="B61" s="33" t="s">
        <v>41</v>
      </c>
      <c r="C61" s="59" t="s">
        <v>207</v>
      </c>
      <c r="D61" s="59"/>
      <c r="E61" s="34">
        <f>SUM(E62:E66)</f>
        <v>165000000</v>
      </c>
    </row>
    <row r="62" spans="2:5" ht="36" customHeight="1">
      <c r="B62" s="39" t="s">
        <v>208</v>
      </c>
      <c r="C62" s="40" t="s">
        <v>209</v>
      </c>
      <c r="D62" s="41" t="s">
        <v>210</v>
      </c>
      <c r="E62" s="42">
        <v>30000000</v>
      </c>
    </row>
    <row r="63" spans="2:5" ht="36" customHeight="1">
      <c r="B63" s="35" t="s">
        <v>211</v>
      </c>
      <c r="C63" s="36" t="s">
        <v>212</v>
      </c>
      <c r="D63" s="37" t="s">
        <v>213</v>
      </c>
      <c r="E63" s="38">
        <v>30000000</v>
      </c>
    </row>
    <row r="64" spans="2:5" ht="36" customHeight="1">
      <c r="B64" s="39" t="s">
        <v>214</v>
      </c>
      <c r="C64" s="40" t="s">
        <v>215</v>
      </c>
      <c r="D64" s="41" t="s">
        <v>216</v>
      </c>
      <c r="E64" s="42">
        <v>30000000</v>
      </c>
    </row>
    <row r="65" spans="2:5" ht="36" customHeight="1">
      <c r="B65" s="35" t="s">
        <v>217</v>
      </c>
      <c r="C65" s="36" t="s">
        <v>218</v>
      </c>
      <c r="D65" s="37" t="s">
        <v>219</v>
      </c>
      <c r="E65" s="38">
        <v>30000000</v>
      </c>
    </row>
    <row r="66" spans="2:5" ht="36" customHeight="1">
      <c r="B66" s="39" t="s">
        <v>220</v>
      </c>
      <c r="C66" s="40" t="s">
        <v>221</v>
      </c>
      <c r="D66" s="41" t="s">
        <v>222</v>
      </c>
      <c r="E66" s="42">
        <v>45000000</v>
      </c>
    </row>
    <row r="68" spans="2:5" ht="36" customHeight="1">
      <c r="B68" s="33" t="s">
        <v>45</v>
      </c>
      <c r="C68" s="59" t="s">
        <v>223</v>
      </c>
      <c r="D68" s="59"/>
      <c r="E68" s="34">
        <f>SUM(E69:E75)</f>
        <v>240000000</v>
      </c>
    </row>
    <row r="69" spans="2:5" ht="36" customHeight="1">
      <c r="B69" s="35" t="s">
        <v>224</v>
      </c>
      <c r="C69" s="44" t="s">
        <v>225</v>
      </c>
      <c r="D69" s="37" t="s">
        <v>226</v>
      </c>
      <c r="E69" s="38">
        <v>60000000</v>
      </c>
    </row>
    <row r="70" spans="2:5" ht="36" customHeight="1">
      <c r="B70" s="39" t="s">
        <v>227</v>
      </c>
      <c r="C70" s="40" t="s">
        <v>228</v>
      </c>
      <c r="D70" s="41" t="s">
        <v>229</v>
      </c>
      <c r="E70" s="42">
        <v>30000000</v>
      </c>
    </row>
    <row r="71" spans="2:5" ht="36" customHeight="1">
      <c r="B71" s="35" t="s">
        <v>230</v>
      </c>
      <c r="C71" s="36" t="s">
        <v>231</v>
      </c>
      <c r="D71" s="37" t="s">
        <v>232</v>
      </c>
      <c r="E71" s="38">
        <v>30000000</v>
      </c>
    </row>
    <row r="72" spans="2:5" ht="36" customHeight="1">
      <c r="B72" s="39" t="s">
        <v>233</v>
      </c>
      <c r="C72" s="40" t="s">
        <v>234</v>
      </c>
      <c r="D72" s="41" t="s">
        <v>235</v>
      </c>
      <c r="E72" s="42">
        <v>30000000</v>
      </c>
    </row>
    <row r="73" spans="2:5" ht="36" customHeight="1">
      <c r="B73" s="35" t="s">
        <v>236</v>
      </c>
      <c r="C73" s="36" t="s">
        <v>237</v>
      </c>
      <c r="D73" s="37" t="s">
        <v>238</v>
      </c>
      <c r="E73" s="38">
        <v>30000000</v>
      </c>
    </row>
    <row r="74" spans="2:5" ht="36" customHeight="1">
      <c r="B74" s="39" t="s">
        <v>239</v>
      </c>
      <c r="C74" s="40" t="s">
        <v>240</v>
      </c>
      <c r="D74" s="41" t="s">
        <v>241</v>
      </c>
      <c r="E74" s="42">
        <v>30000000</v>
      </c>
    </row>
    <row r="75" spans="2:5" ht="36" customHeight="1">
      <c r="B75" s="35" t="s">
        <v>242</v>
      </c>
      <c r="C75" s="36" t="s">
        <v>243</v>
      </c>
      <c r="D75" s="37" t="s">
        <v>244</v>
      </c>
      <c r="E75" s="38">
        <v>30000000</v>
      </c>
    </row>
    <row r="77" spans="2:5" ht="36" customHeight="1">
      <c r="B77" s="33" t="s">
        <v>49</v>
      </c>
      <c r="C77" s="59" t="s">
        <v>245</v>
      </c>
      <c r="D77" s="59"/>
      <c r="E77" s="34">
        <f>SUM(E78:E82)</f>
        <v>195000000</v>
      </c>
    </row>
    <row r="78" spans="2:5" ht="36" customHeight="1">
      <c r="B78" s="39" t="s">
        <v>246</v>
      </c>
      <c r="C78" s="40" t="s">
        <v>247</v>
      </c>
      <c r="D78" s="41" t="s">
        <v>248</v>
      </c>
      <c r="E78" s="42">
        <v>45000000</v>
      </c>
    </row>
    <row r="79" spans="2:5" ht="36" customHeight="1">
      <c r="B79" s="35" t="s">
        <v>249</v>
      </c>
      <c r="C79" s="36" t="s">
        <v>250</v>
      </c>
      <c r="D79" s="37" t="s">
        <v>251</v>
      </c>
      <c r="E79" s="38">
        <v>45000000</v>
      </c>
    </row>
    <row r="80" spans="2:5" ht="36" customHeight="1">
      <c r="B80" s="39" t="s">
        <v>252</v>
      </c>
      <c r="C80" s="40" t="s">
        <v>253</v>
      </c>
      <c r="D80" s="41" t="s">
        <v>254</v>
      </c>
      <c r="E80" s="42">
        <v>30000000</v>
      </c>
    </row>
    <row r="81" spans="2:5" ht="36" customHeight="1">
      <c r="B81" s="35" t="s">
        <v>255</v>
      </c>
      <c r="C81" s="36" t="s">
        <v>256</v>
      </c>
      <c r="D81" s="37" t="s">
        <v>257</v>
      </c>
      <c r="E81" s="38">
        <v>45000000</v>
      </c>
    </row>
    <row r="82" spans="2:5" ht="36" customHeight="1">
      <c r="B82" s="39" t="s">
        <v>258</v>
      </c>
      <c r="C82" s="40" t="s">
        <v>259</v>
      </c>
      <c r="D82" s="41" t="s">
        <v>260</v>
      </c>
      <c r="E82" s="42">
        <v>30000000</v>
      </c>
    </row>
    <row r="84" spans="2:5" ht="36" customHeight="1">
      <c r="B84" s="33" t="s">
        <v>53</v>
      </c>
      <c r="C84" s="60" t="s">
        <v>261</v>
      </c>
      <c r="D84" s="60"/>
      <c r="E84" s="34">
        <f>SUM(E85:E89)</f>
        <v>180000000</v>
      </c>
    </row>
    <row r="85" spans="2:5" ht="36" customHeight="1">
      <c r="B85" s="35" t="s">
        <v>262</v>
      </c>
      <c r="C85" s="36" t="s">
        <v>263</v>
      </c>
      <c r="D85" s="37" t="s">
        <v>264</v>
      </c>
      <c r="E85" s="38">
        <v>45000000</v>
      </c>
    </row>
    <row r="86" spans="2:5" ht="36" customHeight="1">
      <c r="B86" s="39" t="s">
        <v>265</v>
      </c>
      <c r="C86" s="40" t="s">
        <v>266</v>
      </c>
      <c r="D86" s="41" t="s">
        <v>267</v>
      </c>
      <c r="E86" s="42">
        <v>30000000</v>
      </c>
    </row>
    <row r="87" spans="2:5" ht="36" customHeight="1">
      <c r="B87" s="35" t="s">
        <v>268</v>
      </c>
      <c r="C87" s="36" t="s">
        <v>269</v>
      </c>
      <c r="D87" s="37" t="s">
        <v>270</v>
      </c>
      <c r="E87" s="38">
        <v>30000000</v>
      </c>
    </row>
    <row r="88" spans="2:5" ht="36" customHeight="1">
      <c r="B88" s="39" t="s">
        <v>271</v>
      </c>
      <c r="C88" s="40" t="s">
        <v>272</v>
      </c>
      <c r="D88" s="41" t="s">
        <v>273</v>
      </c>
      <c r="E88" s="42">
        <v>30000000</v>
      </c>
    </row>
    <row r="89" spans="2:5" ht="36" customHeight="1">
      <c r="B89" s="35" t="s">
        <v>274</v>
      </c>
      <c r="C89" s="44" t="s">
        <v>301</v>
      </c>
      <c r="D89" s="37" t="s">
        <v>302</v>
      </c>
      <c r="E89" s="38">
        <v>45000000</v>
      </c>
    </row>
    <row r="91" spans="2:5" ht="36" customHeight="1">
      <c r="B91" s="33" t="s">
        <v>57</v>
      </c>
      <c r="C91" s="59" t="s">
        <v>277</v>
      </c>
      <c r="D91" s="59"/>
      <c r="E91" s="34">
        <f>SUM(E92:E97)</f>
        <v>210000000</v>
      </c>
    </row>
    <row r="92" spans="2:5" ht="36" customHeight="1">
      <c r="B92" s="39" t="s">
        <v>278</v>
      </c>
      <c r="C92" s="40" t="s">
        <v>279</v>
      </c>
      <c r="D92" s="41" t="s">
        <v>280</v>
      </c>
      <c r="E92" s="42">
        <v>30000000</v>
      </c>
    </row>
    <row r="93" spans="2:5" ht="36" customHeight="1">
      <c r="B93" s="35" t="s">
        <v>281</v>
      </c>
      <c r="C93" s="36" t="s">
        <v>282</v>
      </c>
      <c r="D93" s="37" t="s">
        <v>283</v>
      </c>
      <c r="E93" s="38">
        <v>45000000</v>
      </c>
    </row>
    <row r="94" spans="2:5" ht="36" customHeight="1">
      <c r="B94" s="39" t="s">
        <v>284</v>
      </c>
      <c r="C94" s="40" t="s">
        <v>285</v>
      </c>
      <c r="D94" s="41" t="s">
        <v>286</v>
      </c>
      <c r="E94" s="42">
        <v>45000000</v>
      </c>
    </row>
    <row r="95" spans="2:5" ht="36" customHeight="1">
      <c r="B95" s="35" t="s">
        <v>287</v>
      </c>
      <c r="C95" s="36" t="s">
        <v>288</v>
      </c>
      <c r="D95" s="37" t="s">
        <v>289</v>
      </c>
      <c r="E95" s="38">
        <v>30000000</v>
      </c>
    </row>
    <row r="96" spans="2:5" ht="36" customHeight="1">
      <c r="B96" s="39" t="s">
        <v>290</v>
      </c>
      <c r="C96" s="40" t="s">
        <v>291</v>
      </c>
      <c r="D96" s="45" t="s">
        <v>292</v>
      </c>
      <c r="E96" s="42">
        <v>30000000</v>
      </c>
    </row>
    <row r="97" spans="2:5" ht="36" customHeight="1">
      <c r="B97" s="35" t="s">
        <v>293</v>
      </c>
      <c r="C97" s="36" t="s">
        <v>294</v>
      </c>
      <c r="D97" s="37" t="s">
        <v>295</v>
      </c>
      <c r="E97" s="38">
        <v>30000000</v>
      </c>
    </row>
    <row r="100" spans="2:5" ht="42" customHeight="1">
      <c r="B100" s="61" t="s">
        <v>296</v>
      </c>
      <c r="C100" s="61"/>
      <c r="D100" s="61"/>
      <c r="E100" s="47">
        <f>E8+E18+E29+E37+E45+E52+E61+E68+E77+E84+E91</f>
        <v>2760000000</v>
      </c>
    </row>
  </sheetData>
  <mergeCells count="14">
    <mergeCell ref="C77:D77"/>
    <mergeCell ref="C84:D84"/>
    <mergeCell ref="C91:D91"/>
    <mergeCell ref="B100:D100"/>
    <mergeCell ref="C37:D37"/>
    <mergeCell ref="C45:D45"/>
    <mergeCell ref="C52:D52"/>
    <mergeCell ref="C61:D61"/>
    <mergeCell ref="C68:D68"/>
    <mergeCell ref="B4:F4"/>
    <mergeCell ref="B5:F5"/>
    <mergeCell ref="C8:D8"/>
    <mergeCell ref="C18:D18"/>
    <mergeCell ref="C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21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/>
  <cols>
    <col min="1" max="1" width="2" customWidth="1"/>
    <col min="2" max="2" width="6" customWidth="1"/>
    <col min="3" max="3" width="32" customWidth="1"/>
    <col min="4" max="6" width="22" customWidth="1"/>
    <col min="7" max="7" width="16" customWidth="1"/>
  </cols>
  <sheetData>
    <row r="2" spans="2:7" ht="3.75" customHeight="1">
      <c r="B2" s="15"/>
      <c r="C2" s="15"/>
      <c r="D2" s="15"/>
      <c r="E2" s="15"/>
      <c r="F2" s="15"/>
      <c r="G2" s="15"/>
    </row>
    <row r="4" spans="2:7" ht="31.5" customHeight="1">
      <c r="B4" s="1" t="s">
        <v>305</v>
      </c>
      <c r="C4" s="1"/>
      <c r="D4" s="1"/>
      <c r="E4" s="1"/>
      <c r="F4" s="1"/>
      <c r="G4" s="1"/>
    </row>
    <row r="5" spans="2:7" ht="19.5" customHeight="1">
      <c r="B5" s="12" t="s">
        <v>306</v>
      </c>
      <c r="C5" s="12"/>
      <c r="D5" s="12"/>
      <c r="E5" s="12"/>
      <c r="F5" s="12"/>
      <c r="G5" s="12"/>
    </row>
    <row r="7" spans="2:7" ht="30" customHeight="1">
      <c r="B7" s="48" t="s">
        <v>18</v>
      </c>
      <c r="C7" s="32" t="s">
        <v>19</v>
      </c>
      <c r="D7" s="32" t="s">
        <v>307</v>
      </c>
      <c r="E7" s="32" t="s">
        <v>308</v>
      </c>
      <c r="F7" s="32" t="s">
        <v>309</v>
      </c>
      <c r="G7" s="32" t="s">
        <v>310</v>
      </c>
    </row>
    <row r="8" spans="2:7" ht="25.5" customHeight="1">
      <c r="B8" s="49" t="s">
        <v>7</v>
      </c>
      <c r="C8" s="50" t="s">
        <v>22</v>
      </c>
      <c r="D8" s="51">
        <f>거리!E8</f>
        <v>135000000</v>
      </c>
      <c r="E8" s="51">
        <f>권역!E8</f>
        <v>229500000</v>
      </c>
      <c r="F8" s="51">
        <f>광역!E8</f>
        <v>405000000</v>
      </c>
      <c r="G8" s="52">
        <f>IFERROR(D8/D19, 0)</f>
        <v>0.14673913043478262</v>
      </c>
    </row>
    <row r="9" spans="2:7" ht="25.5" customHeight="1">
      <c r="B9" s="49" t="s">
        <v>9</v>
      </c>
      <c r="C9" s="53" t="s">
        <v>25</v>
      </c>
      <c r="D9" s="54">
        <f>거리!E18</f>
        <v>140000000</v>
      </c>
      <c r="E9" s="54">
        <f>권역!E18</f>
        <v>238000000</v>
      </c>
      <c r="F9" s="54">
        <f>광역!E18</f>
        <v>420000000</v>
      </c>
      <c r="G9" s="55">
        <f>IFERROR(D9/D19, 0)</f>
        <v>0.15217391304347827</v>
      </c>
    </row>
    <row r="10" spans="2:7" ht="25.5" customHeight="1">
      <c r="B10" s="49" t="s">
        <v>11</v>
      </c>
      <c r="C10" s="50" t="s">
        <v>28</v>
      </c>
      <c r="D10" s="51">
        <f>거리!E29</f>
        <v>80000000</v>
      </c>
      <c r="E10" s="51">
        <f>권역!E29</f>
        <v>136000000</v>
      </c>
      <c r="F10" s="51">
        <f>광역!E29</f>
        <v>240000000</v>
      </c>
      <c r="G10" s="52">
        <f>IFERROR(D10/D19, 0)</f>
        <v>8.6956521739130432E-2</v>
      </c>
    </row>
    <row r="11" spans="2:7" ht="25.5" customHeight="1">
      <c r="B11" s="49" t="s">
        <v>13</v>
      </c>
      <c r="C11" s="53" t="s">
        <v>31</v>
      </c>
      <c r="D11" s="54">
        <f>거리!E37</f>
        <v>75000000</v>
      </c>
      <c r="E11" s="54">
        <f>권역!E37</f>
        <v>127500000</v>
      </c>
      <c r="F11" s="54">
        <f>광역!E37</f>
        <v>225000000</v>
      </c>
      <c r="G11" s="55">
        <f>IFERROR(D11/D19, 0)</f>
        <v>8.1521739130434784E-2</v>
      </c>
    </row>
    <row r="12" spans="2:7" ht="25.5" customHeight="1">
      <c r="B12" s="49" t="s">
        <v>15</v>
      </c>
      <c r="C12" s="50" t="s">
        <v>34</v>
      </c>
      <c r="D12" s="51">
        <f>거리!E45</f>
        <v>60000000</v>
      </c>
      <c r="E12" s="51">
        <f>권역!E45</f>
        <v>102000000</v>
      </c>
      <c r="F12" s="51">
        <f>광역!E45</f>
        <v>180000000</v>
      </c>
      <c r="G12" s="52">
        <f>IFERROR(D12/D19, 0)</f>
        <v>6.5217391304347824E-2</v>
      </c>
    </row>
    <row r="13" spans="2:7" ht="25.5" customHeight="1">
      <c r="B13" s="49" t="s">
        <v>37</v>
      </c>
      <c r="C13" s="53" t="s">
        <v>38</v>
      </c>
      <c r="D13" s="54">
        <f>거리!E52</f>
        <v>100000000</v>
      </c>
      <c r="E13" s="54">
        <f>권역!E52</f>
        <v>170000000</v>
      </c>
      <c r="F13" s="54">
        <f>광역!E52</f>
        <v>300000000</v>
      </c>
      <c r="G13" s="55">
        <f>IFERROR(D13/D19, 0)</f>
        <v>0.10869565217391304</v>
      </c>
    </row>
    <row r="14" spans="2:7" ht="25.5" customHeight="1">
      <c r="B14" s="49" t="s">
        <v>41</v>
      </c>
      <c r="C14" s="50" t="s">
        <v>42</v>
      </c>
      <c r="D14" s="51">
        <f>거리!E61</f>
        <v>55000000</v>
      </c>
      <c r="E14" s="51">
        <f>권역!E61</f>
        <v>93500000</v>
      </c>
      <c r="F14" s="51">
        <f>광역!E61</f>
        <v>165000000</v>
      </c>
      <c r="G14" s="52">
        <f>IFERROR(D14/D19, 0)</f>
        <v>5.9782608695652176E-2</v>
      </c>
    </row>
    <row r="15" spans="2:7" ht="25.5" customHeight="1">
      <c r="B15" s="49" t="s">
        <v>45</v>
      </c>
      <c r="C15" s="53" t="s">
        <v>46</v>
      </c>
      <c r="D15" s="54">
        <f>거리!E68</f>
        <v>80000000</v>
      </c>
      <c r="E15" s="54">
        <f>권역!E68</f>
        <v>136000000</v>
      </c>
      <c r="F15" s="54">
        <f>광역!E68</f>
        <v>240000000</v>
      </c>
      <c r="G15" s="55">
        <f>IFERROR(D15/D19, 0)</f>
        <v>8.6956521739130432E-2</v>
      </c>
    </row>
    <row r="16" spans="2:7" ht="25.5" customHeight="1">
      <c r="B16" s="49" t="s">
        <v>49</v>
      </c>
      <c r="C16" s="50" t="s">
        <v>50</v>
      </c>
      <c r="D16" s="51">
        <f>거리!E77</f>
        <v>65000000</v>
      </c>
      <c r="E16" s="51">
        <f>권역!E77</f>
        <v>110500000</v>
      </c>
      <c r="F16" s="51">
        <f>광역!E77</f>
        <v>195000000</v>
      </c>
      <c r="G16" s="52">
        <f>IFERROR(D16/D19, 0)</f>
        <v>7.0652173913043473E-2</v>
      </c>
    </row>
    <row r="17" spans="2:7" ht="25.5" customHeight="1">
      <c r="B17" s="49" t="s">
        <v>53</v>
      </c>
      <c r="C17" s="56" t="s">
        <v>54</v>
      </c>
      <c r="D17" s="54">
        <f>거리!E84</f>
        <v>60000000</v>
      </c>
      <c r="E17" s="54">
        <f>권역!E84</f>
        <v>102000000</v>
      </c>
      <c r="F17" s="54">
        <f>광역!E84</f>
        <v>180000000</v>
      </c>
      <c r="G17" s="55">
        <f>IFERROR(D17/D19, 0)</f>
        <v>6.5217391304347824E-2</v>
      </c>
    </row>
    <row r="18" spans="2:7" ht="25.5" customHeight="1">
      <c r="B18" s="49" t="s">
        <v>57</v>
      </c>
      <c r="C18" s="50" t="s">
        <v>58</v>
      </c>
      <c r="D18" s="51">
        <f>거리!E91</f>
        <v>70000000</v>
      </c>
      <c r="E18" s="51">
        <f>권역!E91</f>
        <v>119000000</v>
      </c>
      <c r="F18" s="51">
        <f>광역!E91</f>
        <v>210000000</v>
      </c>
      <c r="G18" s="52">
        <f>IFERROR(D18/D19, 0)</f>
        <v>7.6086956521739135E-2</v>
      </c>
    </row>
    <row r="19" spans="2:7" ht="33.75" customHeight="1">
      <c r="B19" s="62" t="s">
        <v>296</v>
      </c>
      <c r="C19" s="62"/>
      <c r="D19" s="57">
        <f>거리!E100</f>
        <v>920000000</v>
      </c>
      <c r="E19" s="57">
        <f>권역!E100</f>
        <v>1564000000</v>
      </c>
      <c r="F19" s="57">
        <f>광역!E100</f>
        <v>2760000000</v>
      </c>
      <c r="G19" s="58" t="s">
        <v>311</v>
      </c>
    </row>
    <row r="21" spans="2:7" ht="15" customHeight="1">
      <c r="B21" s="2" t="s">
        <v>312</v>
      </c>
      <c r="C21" s="2"/>
      <c r="D21" s="2"/>
      <c r="E21" s="2"/>
      <c r="F21" s="2"/>
      <c r="G21" s="2"/>
    </row>
  </sheetData>
  <mergeCells count="4">
    <mergeCell ref="B4:G4"/>
    <mergeCell ref="B5:G5"/>
    <mergeCell ref="B19:C19"/>
    <mergeCell ref="B21:G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개요</vt:lpstr>
      <vt:lpstr>거리</vt:lpstr>
      <vt:lpstr>권역</vt:lpstr>
      <vt:lpstr>광역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김형진/21800204</cp:lastModifiedBy>
  <cp:revision>0</cp:revision>
  <dcterms:created xsi:type="dcterms:W3CDTF">2026-05-25T06:56:43Z</dcterms:created>
  <dcterms:modified xsi:type="dcterms:W3CDTF">2026-05-25T08:43:11Z</dcterms:modified>
  <dc:language>en-US</dc:language>
</cp:coreProperties>
</file>