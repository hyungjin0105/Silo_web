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·요약" sheetId="1" state="visible" r:id="rId3"/>
    <sheet name="상세" sheetId="2" state="visible" r:id="rId4"/>
    <sheet name="작성팀 가이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<sst xmlns="http://schemas.openxmlformats.org/spreadsheetml/2006/main" count="321" uniqueCount="249">
  <si>
    <r>
      <rPr>
        <b val="true"/>
        <sz val="20"/>
        <color rgb="FF1F1F1F"/>
        <rFont val="맑은 고딕"/>
        <family val="0"/>
        <charset val="1"/>
      </rPr>
      <t xml:space="preserve">[</t>
    </r>
    <r>
      <rPr>
        <b val="true"/>
        <sz val="20"/>
        <color rgb="FF1F1F1F"/>
        <rFont val="DejaVu Sans"/>
        <family val="2"/>
      </rPr>
      <t xml:space="preserve">지역명</t>
    </r>
    <r>
      <rPr>
        <b val="true"/>
        <sz val="20"/>
        <color rgb="FF1F1F1F"/>
        <rFont val="맑은 고딕"/>
        <family val="0"/>
        <charset val="1"/>
      </rPr>
      <t xml:space="preserve">] </t>
    </r>
    <r>
      <rPr>
        <b val="true"/>
        <sz val="20"/>
        <color rgb="FF1F1F1F"/>
        <rFont val="DejaVu Sans"/>
        <family val="2"/>
      </rPr>
      <t xml:space="preserve">팝업</t>
    </r>
    <r>
      <rPr>
        <b val="true"/>
        <sz val="20"/>
        <color rgb="FF1F1F1F"/>
        <rFont val="맑은 고딕"/>
        <family val="0"/>
        <charset val="1"/>
      </rPr>
      <t xml:space="preserve">·</t>
    </r>
    <r>
      <rPr>
        <b val="true"/>
        <sz val="20"/>
        <color rgb="FF1F1F1F"/>
        <rFont val="DejaVu Sans"/>
        <family val="2"/>
      </rPr>
      <t xml:space="preserve">공실 매칭 </t>
    </r>
    <r>
      <rPr>
        <b val="true"/>
        <sz val="20"/>
        <color rgb="FF1F1F1F"/>
        <rFont val="맑은 고딕"/>
        <family val="0"/>
        <charset val="1"/>
      </rPr>
      <t xml:space="preserve">IT </t>
    </r>
    <r>
      <rPr>
        <b val="true"/>
        <sz val="20"/>
        <color rgb="FF1F1F1F"/>
        <rFont val="DejaVu Sans"/>
        <family val="2"/>
      </rPr>
      <t xml:space="preserve">플랫폼 구축 사업</t>
    </r>
  </si>
  <si>
    <r>
      <rPr>
        <b val="true"/>
        <sz val="14"/>
        <color rgb="FFFF5A1F"/>
        <rFont val="DejaVu Sans"/>
        <family val="2"/>
      </rPr>
      <t xml:space="preserve">예 산 안 </t>
    </r>
    <r>
      <rPr>
        <b val="true"/>
        <sz val="14"/>
        <color rgb="FFFF5A1F"/>
        <rFont val="맑은 고딕"/>
        <family val="0"/>
        <charset val="1"/>
      </rPr>
      <t xml:space="preserve">(Draft) — IT </t>
    </r>
    <r>
      <rPr>
        <b val="true"/>
        <sz val="14"/>
        <color rgb="FFFF5A1F"/>
        <rFont val="DejaVu Sans"/>
        <family val="2"/>
      </rPr>
      <t xml:space="preserve">영역</t>
    </r>
  </si>
  <si>
    <r>
      <rPr>
        <i val="true"/>
        <sz val="10"/>
        <color rgb="FF8C8C8C"/>
        <rFont val="DejaVu Sans"/>
        <family val="2"/>
      </rPr>
      <t xml:space="preserve">당신의 아이디어가 머물 자리</t>
    </r>
    <r>
      <rPr>
        <i val="true"/>
        <sz val="10"/>
        <color rgb="FF8C8C8C"/>
        <rFont val="맑은 고딕"/>
        <family val="0"/>
        <charset val="1"/>
      </rPr>
      <t xml:space="preserve">. · Empty rooms, full of possibilities.</t>
    </r>
  </si>
  <si>
    <r>
      <rPr>
        <sz val="10"/>
        <color rgb="FF595959"/>
        <rFont val="DejaVu Sans"/>
        <family val="2"/>
      </rPr>
      <t xml:space="preserve">단위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DejaVu Sans"/>
        <family val="2"/>
      </rPr>
      <t xml:space="preserve">원 </t>
    </r>
    <r>
      <rPr>
        <sz val="10"/>
        <color rgb="FF595959"/>
        <rFont val="맑은 고딕"/>
        <family val="0"/>
        <charset val="1"/>
      </rPr>
      <t xml:space="preserve">(₩) · </t>
    </r>
    <r>
      <rPr>
        <sz val="10"/>
        <color rgb="FF595959"/>
        <rFont val="DejaVu Sans"/>
        <family val="2"/>
      </rPr>
      <t xml:space="preserve">부가세 별도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DejaVu Sans"/>
        <family val="2"/>
      </rPr>
      <t xml:space="preserve">사업 기간 </t>
    </r>
    <r>
      <rPr>
        <sz val="10"/>
        <color rgb="FF595959"/>
        <rFont val="맑은 고딕"/>
        <family val="0"/>
        <charset val="1"/>
      </rPr>
      <t xml:space="preserve">2026. 6. ~ 2027. 12. · </t>
    </r>
    <r>
      <rPr>
        <sz val="10"/>
        <color rgb="FF595959"/>
        <rFont val="DejaVu Sans"/>
        <family val="2"/>
      </rPr>
      <t xml:space="preserve">본 예산 범위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DejaVu Sans"/>
        <family val="2"/>
      </rPr>
      <t xml:space="preserve">구축기 </t>
    </r>
    <r>
      <rPr>
        <sz val="10"/>
        <color rgb="FF595959"/>
        <rFont val="맑은 고딕"/>
        <family val="0"/>
        <charset val="1"/>
      </rPr>
      <t xml:space="preserve">(2026. 6. ~ 2026. 12., 6</t>
    </r>
    <r>
      <rPr>
        <sz val="10"/>
        <color rgb="FF595959"/>
        <rFont val="DejaVu Sans"/>
        <family val="2"/>
      </rPr>
      <t xml:space="preserve">개월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</si>
  <si>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595959"/>
        <rFont val="DejaVu Sans"/>
        <family val="2"/>
      </rPr>
      <t xml:space="preserve">작성</t>
    </r>
    <r>
      <rPr>
        <sz val="10"/>
        <color rgb="FF595959"/>
        <rFont val="맑은 고딕"/>
        <family val="0"/>
        <charset val="1"/>
      </rPr>
      <t xml:space="preserve">: [</t>
    </r>
    <r>
      <rPr>
        <sz val="10"/>
        <color rgb="FF595959"/>
        <rFont val="DejaVu Sans"/>
        <family val="2"/>
      </rPr>
      <t xml:space="preserve">운영기관</t>
    </r>
    <r>
      <rPr>
        <sz val="10"/>
        <color rgb="FF595959"/>
        <rFont val="맑은 고딕"/>
        <family val="0"/>
        <charset val="1"/>
      </rPr>
      <t xml:space="preserve">] / 2026. 5.</t>
    </r>
  </si>
  <si>
    <t xml:space="preserve">■ 시나리오별 예산 규모</t>
  </si>
  <si>
    <t xml:space="preserve">기준안</t>
  </si>
  <si>
    <t xml:space="preserve">확장안</t>
  </si>
  <si>
    <t xml:space="preserve">대분류</t>
  </si>
  <si>
    <r>
      <rPr>
        <b val="true"/>
        <sz val="11"/>
        <color rgb="FFFFFFFF"/>
        <rFont val="DejaVu Sans"/>
        <family val="2"/>
      </rPr>
      <t xml:space="preserve">기준안 </t>
    </r>
    <r>
      <rPr>
        <b val="true"/>
        <sz val="11"/>
        <color rgb="FFFFFFFF"/>
        <rFont val="맑은 고딕"/>
        <family val="0"/>
        <charset val="1"/>
      </rPr>
      <t xml:space="preserve">(3</t>
    </r>
    <r>
      <rPr>
        <b val="true"/>
        <sz val="11"/>
        <color rgb="FFFFFFFF"/>
        <rFont val="DejaVu Sans"/>
        <family val="2"/>
      </rPr>
      <t xml:space="preserve">억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</si>
  <si>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확장안 </t>
    </r>
    <r>
      <rPr>
        <b val="true"/>
        <sz val="11"/>
        <color rgb="FFFFFFFF"/>
        <rFont val="맑은 고딕"/>
        <family val="0"/>
        <charset val="1"/>
      </rPr>
      <t xml:space="preserve">(5</t>
    </r>
    <r>
      <rPr>
        <b val="true"/>
        <sz val="11"/>
        <color rgb="FFFFFFFF"/>
        <rFont val="DejaVu Sans"/>
        <family val="2"/>
      </rPr>
      <t xml:space="preserve">억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</si>
  <si>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기준안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</si>
  <si>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</si>
  <si>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sz val="11"/>
        <rFont val="맑은 고딕"/>
        <family val="0"/>
        <charset val="1"/>
      </rPr>
      <t xml:space="preserve">1. </t>
    </r>
    <r>
      <rPr>
        <sz val="11"/>
        <rFont val="DejaVu Sans"/>
        <family val="2"/>
      </rPr>
      <t xml:space="preserve">인프라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클라우드</t>
    </r>
  </si>
  <si>
    <r>
      <rPr>
        <sz val="10"/>
        <color rgb="FF595959"/>
        <rFont val="DejaVu Sans"/>
        <family val="2"/>
      </rPr>
      <t xml:space="preserve">서버</t>
    </r>
    <r>
      <rPr>
        <sz val="10"/>
        <color rgb="FF595959"/>
        <rFont val="맑은 고딕"/>
        <family val="0"/>
        <charset val="1"/>
      </rPr>
      <t xml:space="preserve">·DB·CDN·</t>
    </r>
    <r>
      <rPr>
        <sz val="10"/>
        <color rgb="FF595959"/>
        <rFont val="DejaVu Sans"/>
        <family val="2"/>
      </rPr>
      <t xml:space="preserve">모니터링 등 클라우드 운영 인프라</t>
    </r>
  </si>
  <si>
    <r>
      <rPr>
        <sz val="11"/>
        <rFont val="맑은 고딕"/>
        <family val="0"/>
        <charset val="1"/>
      </rPr>
      <t xml:space="preserve">2. AI·</t>
    </r>
    <r>
      <rPr>
        <sz val="11"/>
        <rFont val="DejaVu Sans"/>
        <family val="2"/>
      </rPr>
      <t xml:space="preserve">외부 </t>
    </r>
    <r>
      <rPr>
        <sz val="11"/>
        <rFont val="맑은 고딕"/>
        <family val="0"/>
        <charset val="1"/>
      </rPr>
      <t xml:space="preserve">API</t>
    </r>
  </si>
  <si>
    <r>
      <rPr>
        <sz val="10"/>
        <color rgb="FF595959"/>
        <rFont val="맑은 고딕"/>
        <family val="0"/>
        <charset val="1"/>
      </rPr>
      <t xml:space="preserve">LLM·</t>
    </r>
    <r>
      <rPr>
        <sz val="10"/>
        <color rgb="FF595959"/>
        <rFont val="DejaVu Sans"/>
        <family val="2"/>
      </rPr>
      <t xml:space="preserve">지도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결제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알림톡 등 외부 </t>
    </r>
    <r>
      <rPr>
        <sz val="10"/>
        <color rgb="FF595959"/>
        <rFont val="맑은 고딕"/>
        <family val="0"/>
        <charset val="1"/>
      </rPr>
      <t xml:space="preserve">API </t>
    </r>
    <r>
      <rPr>
        <sz val="10"/>
        <color rgb="FF595959"/>
        <rFont val="DejaVu Sans"/>
        <family val="2"/>
      </rPr>
      <t xml:space="preserve">사용량 기반</t>
    </r>
  </si>
  <si>
    <r>
      <rPr>
        <sz val="11"/>
        <rFont val="맑은 고딕"/>
        <family val="0"/>
        <charset val="1"/>
      </rPr>
      <t xml:space="preserve">3. SW </t>
    </r>
    <r>
      <rPr>
        <sz val="11"/>
        <rFont val="DejaVu Sans"/>
        <family val="2"/>
      </rPr>
      <t xml:space="preserve">라이센스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툴</t>
    </r>
  </si>
  <si>
    <r>
      <rPr>
        <sz val="10"/>
        <color rgb="FF595959"/>
        <rFont val="DejaVu Sans"/>
        <family val="2"/>
      </rPr>
      <t xml:space="preserve">개발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디자인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분석 협업 도구</t>
    </r>
  </si>
  <si>
    <r>
      <rPr>
        <sz val="11"/>
        <rFont val="맑은 고딕"/>
        <family val="0"/>
        <charset val="1"/>
      </rPr>
      <t xml:space="preserve">4. </t>
    </r>
    <r>
      <rPr>
        <sz val="11"/>
        <rFont val="DejaVu Sans"/>
        <family val="2"/>
      </rPr>
      <t xml:space="preserve">개발 인건비 </t>
    </r>
    <r>
      <rPr>
        <sz val="11"/>
        <rFont val="맑은 고딕"/>
        <family val="0"/>
        <charset val="1"/>
      </rPr>
      <t xml:space="preserve">(</t>
    </r>
    <r>
      <rPr>
        <sz val="11"/>
        <rFont val="DejaVu Sans"/>
        <family val="2"/>
      </rPr>
      <t xml:space="preserve">외주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계약</t>
    </r>
    <r>
      <rPr>
        <sz val="11"/>
        <rFont val="맑은 고딕"/>
        <family val="0"/>
        <charset val="1"/>
      </rPr>
      <t xml:space="preserve">)</t>
    </r>
  </si>
  <si>
    <r>
      <rPr>
        <sz val="10"/>
        <color rgb="FF595959"/>
        <rFont val="DejaVu Sans"/>
        <family val="2"/>
      </rPr>
      <t xml:space="preserve">프론트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백엔드</t>
    </r>
    <r>
      <rPr>
        <sz val="10"/>
        <color rgb="FF595959"/>
        <rFont val="맑은 고딕"/>
        <family val="0"/>
        <charset val="1"/>
      </rPr>
      <t xml:space="preserve">·AI/ML·</t>
    </r>
    <r>
      <rPr>
        <sz val="10"/>
        <color rgb="FF595959"/>
        <rFont val="DejaVu Sans"/>
        <family val="2"/>
      </rPr>
      <t xml:space="preserve">디자인 외주 인건비</t>
    </r>
  </si>
  <si>
    <r>
      <rPr>
        <sz val="11"/>
        <rFont val="맑은 고딕"/>
        <family val="0"/>
        <charset val="1"/>
      </rPr>
      <t xml:space="preserve">5. </t>
    </r>
    <r>
      <rPr>
        <sz val="11"/>
        <rFont val="DejaVu Sans"/>
        <family val="2"/>
      </rPr>
      <t xml:space="preserve">디자인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콘텐츠</t>
    </r>
  </si>
  <si>
    <r>
      <rPr>
        <sz val="10"/>
        <color rgb="FF595959"/>
        <rFont val="맑은 고딕"/>
        <family val="0"/>
        <charset val="1"/>
      </rPr>
      <t xml:space="preserve">BI·</t>
    </r>
    <r>
      <rPr>
        <sz val="10"/>
        <color rgb="FF595959"/>
        <rFont val="DejaVu Sans"/>
        <family val="2"/>
      </rPr>
      <t xml:space="preserve">디자인 시스템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사진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매거진 콘텐츠 제작</t>
    </r>
  </si>
  <si>
    <r>
      <rPr>
        <sz val="11"/>
        <rFont val="맑은 고딕"/>
        <family val="0"/>
        <charset val="1"/>
      </rPr>
      <t xml:space="preserve">6. </t>
    </r>
    <r>
      <rPr>
        <sz val="11"/>
        <rFont val="DejaVu Sans"/>
        <family val="2"/>
      </rPr>
      <t xml:space="preserve">데이터 구축</t>
    </r>
  </si>
  <si>
    <r>
      <rPr>
        <sz val="10"/>
        <color rgb="FF595959"/>
        <rFont val="DejaVu Sans"/>
        <family val="2"/>
      </rPr>
      <t xml:space="preserve">공실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상권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행정 데이터 수집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정제</t>
    </r>
    <r>
      <rPr>
        <sz val="10"/>
        <color rgb="FF595959"/>
        <rFont val="맑은 고딕"/>
        <family val="0"/>
        <charset val="1"/>
      </rPr>
      <t xml:space="preserve">·DB </t>
    </r>
    <r>
      <rPr>
        <sz val="10"/>
        <color rgb="FF595959"/>
        <rFont val="DejaVu Sans"/>
        <family val="2"/>
      </rPr>
      <t xml:space="preserve">구축</t>
    </r>
  </si>
  <si>
    <r>
      <rPr>
        <sz val="11"/>
        <rFont val="맑은 고딕"/>
        <family val="0"/>
        <charset val="1"/>
      </rPr>
      <t xml:space="preserve">7. </t>
    </r>
    <r>
      <rPr>
        <sz val="11"/>
        <rFont val="DejaVu Sans"/>
        <family val="2"/>
      </rPr>
      <t xml:space="preserve">보안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법무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인증</t>
    </r>
  </si>
  <si>
    <r>
      <rPr>
        <sz val="10"/>
        <color rgb="FF595959"/>
        <rFont val="DejaVu Sans"/>
        <family val="2"/>
      </rPr>
      <t xml:space="preserve">보안 진단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개인정보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법무 자문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보험</t>
    </r>
  </si>
  <si>
    <r>
      <rPr>
        <sz val="11"/>
        <rFont val="맑은 고딕"/>
        <family val="0"/>
        <charset val="1"/>
      </rPr>
      <t xml:space="preserve">8. </t>
    </r>
    <r>
      <rPr>
        <sz val="11"/>
        <rFont val="DejaVu Sans"/>
        <family val="2"/>
      </rPr>
      <t xml:space="preserve">운영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고객지원</t>
    </r>
  </si>
  <si>
    <r>
      <rPr>
        <sz val="10"/>
        <color rgb="FF595959"/>
        <rFont val="맑은 고딕"/>
        <family val="0"/>
        <charset val="1"/>
      </rPr>
      <t xml:space="preserve">CS·</t>
    </r>
    <r>
      <rPr>
        <sz val="10"/>
        <color rgb="FF595959"/>
        <rFont val="DejaVu Sans"/>
        <family val="2"/>
      </rPr>
      <t xml:space="preserve">운영 매니저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매뉴얼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정기 점검</t>
    </r>
  </si>
  <si>
    <r>
      <rPr>
        <sz val="11"/>
        <rFont val="맑은 고딕"/>
        <family val="0"/>
        <charset val="1"/>
      </rPr>
      <t xml:space="preserve">9. </t>
    </r>
    <r>
      <rPr>
        <sz val="11"/>
        <rFont val="DejaVu Sans"/>
        <family val="2"/>
      </rPr>
      <t xml:space="preserve">마케팅 </t>
    </r>
    <r>
      <rPr>
        <sz val="11"/>
        <rFont val="맑은 고딕"/>
        <family val="0"/>
        <charset val="1"/>
      </rPr>
      <t xml:space="preserve">(IT </t>
    </r>
    <r>
      <rPr>
        <sz val="11"/>
        <rFont val="DejaVu Sans"/>
        <family val="2"/>
      </rPr>
      <t xml:space="preserve">영역</t>
    </r>
    <r>
      <rPr>
        <sz val="11"/>
        <rFont val="맑은 고딕"/>
        <family val="0"/>
        <charset val="1"/>
      </rPr>
      <t xml:space="preserve">)</t>
    </r>
  </si>
  <si>
    <r>
      <rPr>
        <sz val="10"/>
        <color rgb="FF595959"/>
        <rFont val="맑은 고딕"/>
        <family val="0"/>
        <charset val="1"/>
      </rPr>
      <t xml:space="preserve">SEO·</t>
    </r>
    <r>
      <rPr>
        <sz val="10"/>
        <color rgb="FF595959"/>
        <rFont val="DejaVu Sans"/>
        <family val="2"/>
      </rPr>
      <t xml:space="preserve">디지털 광고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랜딩 페이지</t>
    </r>
    <r>
      <rPr>
        <sz val="10"/>
        <color rgb="FF595959"/>
        <rFont val="맑은 고딕"/>
        <family val="0"/>
        <charset val="1"/>
      </rPr>
      <t xml:space="preserve">·PR</t>
    </r>
  </si>
  <si>
    <r>
      <rPr>
        <sz val="11"/>
        <rFont val="맑은 고딕"/>
        <family val="0"/>
        <charset val="1"/>
      </rPr>
      <t xml:space="preserve">10. </t>
    </r>
    <r>
      <rPr>
        <sz val="11"/>
        <rFont val="DejaVu Sans"/>
        <family val="2"/>
      </rPr>
      <t xml:space="preserve">사업관리</t>
    </r>
    <r>
      <rPr>
        <sz val="11"/>
        <rFont val="맑은 고딕"/>
        <family val="0"/>
        <charset val="1"/>
      </rPr>
      <t xml:space="preserve">·</t>
    </r>
    <r>
      <rPr>
        <sz val="11"/>
        <rFont val="DejaVu Sans"/>
        <family val="2"/>
      </rPr>
      <t xml:space="preserve">예비비</t>
    </r>
  </si>
  <si>
    <r>
      <rPr>
        <sz val="10"/>
        <color rgb="FF595959"/>
        <rFont val="DejaVu Sans"/>
        <family val="2"/>
      </rPr>
      <t xml:space="preserve">총괄 </t>
    </r>
    <r>
      <rPr>
        <sz val="10"/>
        <color rgb="FF595959"/>
        <rFont val="맑은 고딕"/>
        <family val="0"/>
        <charset val="1"/>
      </rPr>
      <t xml:space="preserve">PM·</t>
    </r>
    <r>
      <rPr>
        <sz val="10"/>
        <color rgb="FF595959"/>
        <rFont val="DejaVu Sans"/>
        <family val="2"/>
      </rPr>
      <t xml:space="preserve">회계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일반관리비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예비비</t>
    </r>
  </si>
  <si>
    <t xml:space="preserve">합  계</t>
  </si>
  <si>
    <r>
      <rPr>
        <sz val="10"/>
        <color rgb="FF595959"/>
        <rFont val="DejaVu Sans"/>
        <family val="2"/>
      </rPr>
      <t xml:space="preserve">※ 부가세는 항목별 별도 산정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DejaVu Sans"/>
        <family val="2"/>
      </rPr>
      <t xml:space="preserve">본 예산은 </t>
    </r>
    <r>
      <rPr>
        <sz val="10"/>
        <color rgb="FF595959"/>
        <rFont val="맑은 고딕"/>
        <family val="0"/>
        <charset val="1"/>
      </rPr>
      <t xml:space="preserve">IT </t>
    </r>
    <r>
      <rPr>
        <sz val="10"/>
        <color rgb="FF595959"/>
        <rFont val="DejaVu Sans"/>
        <family val="2"/>
      </rPr>
      <t xml:space="preserve">영역에 한함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</si>
  <si>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DejaVu Sans"/>
        <family val="2"/>
      </rPr>
      <t xml:space="preserve">※ 본 예산은 구축기</t>
    </r>
    <r>
      <rPr>
        <sz val="10"/>
        <color rgb="FF595959"/>
        <rFont val="맑은 고딕"/>
        <family val="0"/>
        <charset val="1"/>
      </rPr>
      <t xml:space="preserve">(2026. 6. ~ 2026. 12.) </t>
    </r>
    <r>
      <rPr>
        <sz val="10"/>
        <color rgb="FF595959"/>
        <rFont val="DejaVu Sans"/>
        <family val="2"/>
      </rPr>
      <t xml:space="preserve">기준이며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DejaVu Sans"/>
        <family val="2"/>
      </rPr>
      <t xml:space="preserve">운영기 이후의 운영비는 사업 진행 결과에 따라 별도 산정함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</si>
  <si>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DejaVu Sans"/>
        <family val="2"/>
      </rPr>
      <t xml:space="preserve">※ 단가는 시장 일반 단가를 기준으로 산정하였으며</t>
    </r>
    <r>
      <rPr>
        <sz val="10"/>
        <color rgb="FF595959"/>
        <rFont val="맑은 고딕"/>
        <family val="0"/>
        <charset val="1"/>
      </rPr>
      <t xml:space="preserve">, </t>
    </r>
    <r>
      <rPr>
        <sz val="10"/>
        <color rgb="FF595959"/>
        <rFont val="DejaVu Sans"/>
        <family val="2"/>
      </rPr>
      <t xml:space="preserve">사업 확정 단계에서 견적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계약 시 재산정한다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</si>
  <si>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번호</t>
  </si>
  <si>
    <t xml:space="preserve">세부 항목</t>
  </si>
  <si>
    <t xml:space="preserve">단위</t>
  </si>
  <si>
    <t xml:space="preserve">수량</t>
  </si>
  <si>
    <t xml:space="preserve">단가</t>
  </si>
  <si>
    <t xml:space="preserve">기간</t>
  </si>
  <si>
    <r>
      <rPr>
        <b val="true"/>
        <sz val="10"/>
        <color rgb="FFFFFFFF"/>
        <rFont val="DejaVu Sans"/>
        <family val="2"/>
      </rPr>
      <t xml:space="preserve">기준안 소계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</si>
  <si>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확장안 소계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</si>
  <si>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595959"/>
        <rFont val="DejaVu Sans"/>
        <family val="2"/>
      </rPr>
      <t xml:space="preserve">── 기준안 </t>
    </r>
    <r>
      <rPr>
        <b val="true"/>
        <sz val="9"/>
        <color rgb="FF595959"/>
        <rFont val="맑은 고딕"/>
        <family val="0"/>
        <charset val="1"/>
      </rPr>
      <t xml:space="preserve">(3</t>
    </r>
    <r>
      <rPr>
        <b val="true"/>
        <sz val="9"/>
        <color rgb="FF595959"/>
        <rFont val="DejaVu Sans"/>
        <family val="2"/>
      </rPr>
      <t xml:space="preserve">억</t>
    </r>
    <r>
      <rPr>
        <b val="true"/>
        <sz val="9"/>
        <color rgb="FF595959"/>
        <rFont val="맑은 고딕"/>
        <family val="0"/>
        <charset val="1"/>
      </rPr>
      <t xml:space="preserve">) ──</t>
    </r>
  </si>
  <si>
    <r>
      <rPr>
        <b val="true"/>
        <sz val="9"/>
        <color rgb="FF595959"/>
        <rFont val="DejaVu Sans"/>
        <family val="2"/>
      </rPr>
      <t xml:space="preserve">── 확장안 </t>
    </r>
    <r>
      <rPr>
        <b val="true"/>
        <sz val="9"/>
        <color rgb="FF595959"/>
        <rFont val="맑은 고딕"/>
        <family val="0"/>
        <charset val="1"/>
      </rPr>
      <t xml:space="preserve">(5</t>
    </r>
    <r>
      <rPr>
        <b val="true"/>
        <sz val="9"/>
        <color rgb="FF595959"/>
        <rFont val="DejaVu Sans"/>
        <family val="2"/>
      </rPr>
      <t xml:space="preserve">억</t>
    </r>
    <r>
      <rPr>
        <b val="true"/>
        <sz val="9"/>
        <color rgb="FF595959"/>
        <rFont val="맑은 고딕"/>
        <family val="0"/>
        <charset val="1"/>
      </rPr>
      <t xml:space="preserve">) ──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</si>
  <si>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DejaVu Sans"/>
        <family val="2"/>
      </rPr>
      <t xml:space="preserve">인프라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클라우드</t>
    </r>
  </si>
  <si>
    <r>
      <rPr>
        <sz val="11"/>
        <color theme="1"/>
        <rFont val="DejaVu Sans"/>
        <family val="2"/>
      </rPr>
      <t xml:space="preserve">클라우드 컴퓨팅 </t>
    </r>
    <r>
      <rPr>
        <sz val="11"/>
        <color theme="1"/>
        <rFont val="Calibri"/>
        <family val="2"/>
        <charset val="1"/>
      </rPr>
      <t xml:space="preserve">(Compute, Auto-scaling)</t>
    </r>
  </si>
  <si>
    <t xml:space="preserve">월</t>
  </si>
  <si>
    <r>
      <rPr>
        <sz val="9"/>
        <color rgb="FF595959"/>
        <rFont val="맑은 고딕"/>
        <family val="0"/>
        <charset val="1"/>
      </rPr>
      <t xml:space="preserve">AWS/GCP. </t>
    </r>
    <r>
      <rPr>
        <sz val="9"/>
        <color rgb="FF595959"/>
        <rFont val="DejaVu Sans"/>
        <family val="2"/>
      </rPr>
      <t xml:space="preserve">트래픽 증가 시 비례 확대</t>
    </r>
  </si>
  <si>
    <r>
      <rPr>
        <sz val="11"/>
        <color theme="1"/>
        <rFont val="DejaVu Sans"/>
        <family val="2"/>
      </rPr>
      <t xml:space="preserve">매니지드 </t>
    </r>
    <r>
      <rPr>
        <sz val="11"/>
        <color theme="1"/>
        <rFont val="Calibri"/>
        <family val="2"/>
        <charset val="1"/>
      </rPr>
      <t xml:space="preserve">DB (PostgreSQL, Multi-AZ)</t>
    </r>
  </si>
  <si>
    <r>
      <rPr>
        <sz val="9"/>
        <color rgb="FF595959"/>
        <rFont val="맑은 고딕"/>
        <family val="0"/>
        <charset val="1"/>
      </rPr>
      <t xml:space="preserve">RDS </t>
    </r>
    <r>
      <rPr>
        <sz val="9"/>
        <color rgb="FF595959"/>
        <rFont val="DejaVu Sans"/>
        <family val="2"/>
      </rPr>
      <t xml:space="preserve">등</t>
    </r>
    <r>
      <rPr>
        <sz val="9"/>
        <color rgb="FF595959"/>
        <rFont val="맑은 고딕"/>
        <family val="0"/>
        <charset val="1"/>
      </rPr>
      <t xml:space="preserve">. HA </t>
    </r>
    <r>
      <rPr>
        <sz val="9"/>
        <color rgb="FF595959"/>
        <rFont val="DejaVu Sans"/>
        <family val="2"/>
      </rPr>
      <t xml:space="preserve">구성</t>
    </r>
  </si>
  <si>
    <r>
      <rPr>
        <sz val="11"/>
        <color theme="1"/>
        <rFont val="DejaVu Sans"/>
        <family val="2"/>
      </rPr>
      <t xml:space="preserve">캐시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세션 </t>
    </r>
    <r>
      <rPr>
        <sz val="11"/>
        <color theme="1"/>
        <rFont val="Calibri"/>
        <family val="2"/>
        <charset val="1"/>
      </rPr>
      <t xml:space="preserve">(Redis)</t>
    </r>
  </si>
  <si>
    <r>
      <rPr>
        <sz val="9"/>
        <color rgb="FF595959"/>
        <rFont val="맑은 고딕"/>
        <family val="0"/>
        <charset val="1"/>
      </rPr>
      <t xml:space="preserve">ElastiCache </t>
    </r>
    <r>
      <rPr>
        <sz val="9"/>
        <color rgb="FF595959"/>
        <rFont val="DejaVu Sans"/>
        <family val="2"/>
      </rPr>
      <t xml:space="preserve">등</t>
    </r>
  </si>
  <si>
    <r>
      <rPr>
        <sz val="11"/>
        <color theme="1"/>
        <rFont val="DejaVu Sans"/>
        <family val="2"/>
      </rPr>
      <t xml:space="preserve">오브젝트 스토리지</t>
    </r>
    <r>
      <rPr>
        <sz val="11"/>
        <color theme="1"/>
        <rFont val="Calibri"/>
        <family val="2"/>
        <charset val="1"/>
      </rPr>
      <t xml:space="preserve">·CDN (</t>
    </r>
    <r>
      <rPr>
        <sz val="11"/>
        <color theme="1"/>
        <rFont val="DejaVu Sans"/>
        <family val="2"/>
      </rPr>
      <t xml:space="preserve">이미지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콘텐츠</t>
    </r>
    <r>
      <rPr>
        <sz val="11"/>
        <color theme="1"/>
        <rFont val="Calibri"/>
        <family val="2"/>
        <charset val="1"/>
      </rPr>
      <t xml:space="preserve">)</t>
    </r>
  </si>
  <si>
    <t xml:space="preserve">S3 + CloudFront</t>
  </si>
  <si>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·SSL·DNS</t>
    </r>
  </si>
  <si>
    <t xml:space="preserve">식</t>
  </si>
  <si>
    <t xml:space="preserve">다년도 갱신 포함</t>
  </si>
  <si>
    <r>
      <rPr>
        <sz val="11"/>
        <color theme="1"/>
        <rFont val="Calibri"/>
        <family val="2"/>
        <charset val="1"/>
      </rPr>
      <t xml:space="preserve">APM·</t>
    </r>
    <r>
      <rPr>
        <sz val="11"/>
        <color theme="1"/>
        <rFont val="DejaVu Sans"/>
        <family val="2"/>
      </rPr>
      <t xml:space="preserve">에러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로그 모니터링</t>
    </r>
  </si>
  <si>
    <t xml:space="preserve">Sentry/DataDog</t>
  </si>
  <si>
    <r>
      <rPr>
        <sz val="11"/>
        <color theme="1"/>
        <rFont val="DejaVu Sans"/>
        <family val="2"/>
      </rPr>
      <t xml:space="preserve">로그 수집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관측 </t>
    </r>
    <r>
      <rPr>
        <sz val="11"/>
        <color theme="1"/>
        <rFont val="Calibri"/>
        <family val="2"/>
        <charset val="1"/>
      </rPr>
      <t xml:space="preserve">(Log Analytics)</t>
    </r>
  </si>
  <si>
    <t xml:space="preserve">이벤트 분석 기반</t>
  </si>
  <si>
    <r>
      <rPr>
        <sz val="11"/>
        <color theme="1"/>
        <rFont val="DejaVu Sans"/>
        <family val="2"/>
      </rPr>
      <t xml:space="preserve">백업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재해복구</t>
    </r>
  </si>
  <si>
    <r>
      <rPr>
        <sz val="9"/>
        <color rgb="FF595959"/>
        <rFont val="맑은 고딕"/>
        <family val="0"/>
        <charset val="1"/>
      </rPr>
      <t xml:space="preserve">RPO 24h </t>
    </r>
    <r>
      <rPr>
        <sz val="9"/>
        <color rgb="FF595959"/>
        <rFont val="DejaVu Sans"/>
        <family val="2"/>
      </rPr>
      <t xml:space="preserve">기준</t>
    </r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</si>
  <si>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DejaVu Sans"/>
        <family val="2"/>
      </rPr>
      <t xml:space="preserve">인프라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클라우드 소계</t>
    </r>
  </si>
  <si>
    <r>
      <rPr>
        <b val="true"/>
        <sz val="11"/>
        <rFont val="맑은 고딕"/>
        <family val="0"/>
        <charset val="1"/>
      </rPr>
      <t xml:space="preserve">2. AI·</t>
    </r>
    <r>
      <rPr>
        <b val="true"/>
        <sz val="11"/>
        <rFont val="DejaVu Sans"/>
        <family val="2"/>
      </rPr>
      <t xml:space="preserve">외부 </t>
    </r>
    <r>
      <rPr>
        <b val="true"/>
        <sz val="11"/>
        <rFont val="맑은 고딕"/>
        <family val="0"/>
        <charset val="1"/>
      </rPr>
      <t xml:space="preserve">API</t>
    </r>
  </si>
  <si>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DejaVu Sans"/>
        <family val="2"/>
      </rPr>
      <t xml:space="preserve">토큰 — 콘텐츠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카피 생성</t>
    </r>
  </si>
  <si>
    <r>
      <rPr>
        <sz val="9"/>
        <color rgb="FF595959"/>
        <rFont val="맑은 고딕"/>
        <family val="0"/>
        <charset val="1"/>
      </rPr>
      <t xml:space="preserve">OpenAI/Anthropic </t>
    </r>
    <r>
      <rPr>
        <sz val="9"/>
        <color rgb="FF595959"/>
        <rFont val="DejaVu Sans"/>
        <family val="2"/>
      </rPr>
      <t xml:space="preserve">사용량 기반</t>
    </r>
  </si>
  <si>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DejaVu Sans"/>
        <family val="2"/>
      </rPr>
      <t xml:space="preserve">토큰 — 매칭 추천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자연어 질의</t>
    </r>
  </si>
  <si>
    <r>
      <rPr>
        <sz val="9"/>
        <color rgb="FF595959"/>
        <rFont val="DejaVu Sans"/>
        <family val="2"/>
      </rPr>
      <t xml:space="preserve">동네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적합도 추천</t>
    </r>
  </si>
  <si>
    <r>
      <rPr>
        <sz val="11"/>
        <color theme="1"/>
        <rFont val="DejaVu Sans"/>
        <family val="2"/>
      </rPr>
      <t xml:space="preserve">임베딩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벡터 </t>
    </r>
    <r>
      <rPr>
        <sz val="11"/>
        <color theme="1"/>
        <rFont val="Calibri"/>
        <family val="2"/>
        <charset val="1"/>
      </rPr>
      <t xml:space="preserve">DB</t>
    </r>
  </si>
  <si>
    <t xml:space="preserve">Pinecone/PGVector</t>
  </si>
  <si>
    <r>
      <rPr>
        <sz val="11"/>
        <color theme="1"/>
        <rFont val="DejaVu Sans"/>
        <family val="2"/>
      </rPr>
      <t xml:space="preserve">이미지 생성 </t>
    </r>
    <r>
      <rPr>
        <sz val="11"/>
        <color theme="1"/>
        <rFont val="Calibri"/>
        <family val="2"/>
        <charset val="1"/>
      </rPr>
      <t xml:space="preserve">API (OG·SNS </t>
    </r>
    <r>
      <rPr>
        <sz val="11"/>
        <color theme="1"/>
        <rFont val="DejaVu Sans"/>
        <family val="2"/>
      </rPr>
      <t xml:space="preserve">소재</t>
    </r>
    <r>
      <rPr>
        <sz val="11"/>
        <color theme="1"/>
        <rFont val="Calibri"/>
        <family val="2"/>
        <charset val="1"/>
      </rPr>
      <t xml:space="preserve">)</t>
    </r>
  </si>
  <si>
    <t xml:space="preserve">광고 소재 자동화</t>
  </si>
  <si>
    <r>
      <rPr>
        <sz val="11"/>
        <color theme="1"/>
        <rFont val="DejaVu Sans"/>
        <family val="2"/>
      </rPr>
      <t xml:space="preserve">지도 </t>
    </r>
    <r>
      <rPr>
        <sz val="11"/>
        <color theme="1"/>
        <rFont val="Calibri"/>
        <family val="2"/>
        <charset val="1"/>
      </rPr>
      <t xml:space="preserve">API (</t>
    </r>
    <r>
      <rPr>
        <sz val="11"/>
        <color theme="1"/>
        <rFont val="DejaVu Sans"/>
        <family val="2"/>
      </rPr>
      <t xml:space="preserve">지오코딩</t>
    </r>
    <r>
      <rPr>
        <sz val="11"/>
        <color theme="1"/>
        <rFont val="Calibri"/>
        <family val="2"/>
        <charset val="1"/>
      </rPr>
      <t xml:space="preserve">·POI·</t>
    </r>
    <r>
      <rPr>
        <sz val="11"/>
        <color theme="1"/>
        <rFont val="DejaVu Sans"/>
        <family val="2"/>
      </rPr>
      <t xml:space="preserve">라우팅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</si>
  <si>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네이버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DejaVu Sans"/>
        <family val="2"/>
      </rPr>
      <t xml:space="preserve">카카오 지도</t>
    </r>
  </si>
  <si>
    <r>
      <rPr>
        <sz val="11"/>
        <color theme="1"/>
        <rFont val="DejaVu Sans"/>
        <family val="2"/>
      </rPr>
      <t xml:space="preserve">결제 </t>
    </r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DejaVu Sans"/>
        <family val="2"/>
      </rPr>
      <t xml:space="preserve">연동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고정비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</si>
  <si>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거래액 </t>
    </r>
    <r>
      <rPr>
        <sz val="9"/>
        <color rgb="FF595959"/>
        <rFont val="맑은 고딕"/>
        <family val="0"/>
        <charset val="1"/>
      </rPr>
      <t xml:space="preserve">% </t>
    </r>
    <r>
      <rPr>
        <sz val="9"/>
        <color rgb="FF595959"/>
        <rFont val="DejaVu Sans"/>
        <family val="2"/>
      </rPr>
      <t xml:space="preserve">수수료는 별도</t>
    </r>
  </si>
  <si>
    <r>
      <rPr>
        <sz val="11"/>
        <color theme="1"/>
        <rFont val="Calibri"/>
        <family val="2"/>
        <charset val="1"/>
      </rPr>
      <t xml:space="preserve">SMS·</t>
    </r>
    <r>
      <rPr>
        <sz val="11"/>
        <color theme="1"/>
        <rFont val="DejaVu Sans"/>
        <family val="2"/>
      </rPr>
      <t xml:space="preserve">카카오 알림톡</t>
    </r>
  </si>
  <si>
    <t xml:space="preserve">팝업 운영 알림 발송</t>
  </si>
  <si>
    <r>
      <rPr>
        <sz val="11"/>
        <color theme="1"/>
        <rFont val="DejaVu Sans"/>
        <family val="2"/>
      </rPr>
      <t xml:space="preserve">본인인증</t>
    </r>
    <r>
      <rPr>
        <sz val="11"/>
        <color theme="1"/>
        <rFont val="Calibri"/>
        <family val="2"/>
        <charset val="1"/>
      </rPr>
      <t xml:space="preserve">·CI/DI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</si>
  <si>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인증</t>
    </r>
  </si>
  <si>
    <r>
      <rPr>
        <sz val="11"/>
        <color theme="1"/>
        <rFont val="Calibri"/>
        <family val="2"/>
        <charset val="1"/>
      </rPr>
      <t xml:space="preserve">OCR·</t>
    </r>
    <r>
      <rPr>
        <sz val="11"/>
        <color theme="1"/>
        <rFont val="DejaVu Sans"/>
        <family val="2"/>
      </rPr>
      <t xml:space="preserve">이미지 분석</t>
    </r>
  </si>
  <si>
    <t xml:space="preserve">매물 사진 자동 태깅</t>
  </si>
  <si>
    <r>
      <rPr>
        <sz val="11"/>
        <color theme="1"/>
        <rFont val="DejaVu Sans"/>
        <family val="2"/>
      </rPr>
      <t xml:space="preserve">전자계약 </t>
    </r>
    <r>
      <rPr>
        <sz val="11"/>
        <color theme="1"/>
        <rFont val="Calibri"/>
        <family val="2"/>
        <charset val="1"/>
      </rPr>
      <t xml:space="preserve">API</t>
    </r>
  </si>
  <si>
    <t xml:space="preserve">단기 임대 계약</t>
  </si>
  <si>
    <r>
      <rPr>
        <b val="true"/>
        <sz val="10"/>
        <rFont val="맑은 고딕"/>
        <family val="0"/>
        <charset val="1"/>
      </rPr>
      <t xml:space="preserve">2. AI·</t>
    </r>
    <r>
      <rPr>
        <b val="true"/>
        <sz val="10"/>
        <rFont val="DejaVu Sans"/>
        <family val="2"/>
      </rPr>
      <t xml:space="preserve">외부 </t>
    </r>
    <r>
      <rPr>
        <b val="true"/>
        <sz val="10"/>
        <rFont val="맑은 고딕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</si>
  <si>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3. SW </t>
    </r>
    <r>
      <rPr>
        <b val="true"/>
        <sz val="11"/>
        <rFont val="DejaVu Sans"/>
        <family val="2"/>
      </rPr>
      <t xml:space="preserve">라이센스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툴</t>
    </r>
  </si>
  <si>
    <r>
      <rPr>
        <sz val="11"/>
        <color theme="1"/>
        <rFont val="DejaVu Sans"/>
        <family val="2"/>
      </rPr>
      <t xml:space="preserve">협업툴 </t>
    </r>
    <r>
      <rPr>
        <sz val="11"/>
        <color theme="1"/>
        <rFont val="Calibri"/>
        <family val="2"/>
        <charset val="1"/>
      </rPr>
      <t xml:space="preserve">(Notion·Slack) </t>
    </r>
    <r>
      <rPr>
        <sz val="11"/>
        <color theme="1"/>
        <rFont val="DejaVu Sans"/>
        <family val="2"/>
      </rPr>
      <t xml:space="preserve">팀 라이센스</t>
    </r>
  </si>
  <si>
    <r>
      <rPr>
        <sz val="9"/>
        <color rgb="FF595959"/>
        <rFont val="DejaVu Sans"/>
        <family val="2"/>
      </rPr>
      <t xml:space="preserve">팀 인원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DejaVu Sans"/>
        <family val="2"/>
      </rPr>
      <t xml:space="preserve">단가</t>
    </r>
  </si>
  <si>
    <r>
      <rPr>
        <sz val="11"/>
        <color theme="1"/>
        <rFont val="DejaVu Sans"/>
        <family val="2"/>
      </rPr>
      <t xml:space="preserve">디자인툴 </t>
    </r>
    <r>
      <rPr>
        <sz val="11"/>
        <color theme="1"/>
        <rFont val="Calibri"/>
        <family val="2"/>
        <charset val="1"/>
      </rPr>
      <t xml:space="preserve">(Figma)</t>
    </r>
  </si>
  <si>
    <r>
      <rPr>
        <sz val="9"/>
        <color rgb="FF595959"/>
        <rFont val="DejaVu Sans"/>
        <family val="2"/>
      </rPr>
      <t xml:space="preserve">디자인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기획 인원</t>
    </r>
  </si>
  <si>
    <r>
      <rPr>
        <sz val="11"/>
        <color theme="1"/>
        <rFont val="DejaVu Sans"/>
        <family val="2"/>
      </rPr>
      <t xml:space="preserve">코드 저장소</t>
    </r>
    <r>
      <rPr>
        <sz val="11"/>
        <color theme="1"/>
        <rFont val="Calibri"/>
        <family val="2"/>
        <charset val="1"/>
      </rPr>
      <t xml:space="preserve">·CI/CD (GitHub)</t>
    </r>
  </si>
  <si>
    <t xml:space="preserve">개발 인원</t>
  </si>
  <si>
    <r>
      <rPr>
        <sz val="11"/>
        <color theme="1"/>
        <rFont val="DejaVu Sans"/>
        <family val="2"/>
      </rPr>
      <t xml:space="preserve">프로젝트 관리 </t>
    </r>
    <r>
      <rPr>
        <sz val="11"/>
        <color theme="1"/>
        <rFont val="Calibri"/>
        <family val="2"/>
        <charset val="1"/>
      </rPr>
      <t xml:space="preserve">(Linear/Jira)</t>
    </r>
  </si>
  <si>
    <t xml:space="preserve">팀 라이센스</t>
  </si>
  <si>
    <r>
      <rPr>
        <sz val="11"/>
        <color theme="1"/>
        <rFont val="DejaVu Sans"/>
        <family val="2"/>
      </rPr>
      <t xml:space="preserve">프로덕트 분석 </t>
    </r>
    <r>
      <rPr>
        <sz val="11"/>
        <color theme="1"/>
        <rFont val="Calibri"/>
        <family val="2"/>
        <charset val="1"/>
      </rPr>
      <t xml:space="preserve">SaaS (Mixpanel/Amplitude)</t>
    </r>
  </si>
  <si>
    <t xml:space="preserve">행동 분석</t>
  </si>
  <si>
    <r>
      <rPr>
        <sz val="11"/>
        <color theme="1"/>
        <rFont val="Calibri"/>
        <family val="2"/>
        <charset val="1"/>
      </rPr>
      <t xml:space="preserve">E2E </t>
    </r>
    <r>
      <rPr>
        <sz val="11"/>
        <color theme="1"/>
        <rFont val="DejaVu Sans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·QA </t>
    </r>
    <r>
      <rPr>
        <sz val="11"/>
        <color theme="1"/>
        <rFont val="DejaVu Sans"/>
        <family val="2"/>
      </rPr>
      <t xml:space="preserve">자동화</t>
    </r>
  </si>
  <si>
    <r>
      <rPr>
        <sz val="9"/>
        <color rgb="FF595959"/>
        <rFont val="맑은 고딕"/>
        <family val="0"/>
        <charset val="1"/>
      </rPr>
      <t xml:space="preserve">Playwright Cloud </t>
    </r>
    <r>
      <rPr>
        <sz val="9"/>
        <color rgb="FF595959"/>
        <rFont val="DejaVu Sans"/>
        <family val="2"/>
      </rPr>
      <t xml:space="preserve">등</t>
    </r>
  </si>
  <si>
    <r>
      <rPr>
        <sz val="11"/>
        <color theme="1"/>
        <rFont val="DejaVu Sans"/>
        <family val="2"/>
      </rPr>
      <t xml:space="preserve">폰트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디자인 에셋 라이브러리</t>
    </r>
  </si>
  <si>
    <t xml:space="preserve">상업 라이센스</t>
  </si>
  <si>
    <r>
      <rPr>
        <sz val="11"/>
        <color theme="1"/>
        <rFont val="DejaVu Sans"/>
        <family val="2"/>
      </rPr>
      <t xml:space="preserve">보안 스캔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취약점 진단 도구</t>
    </r>
  </si>
  <si>
    <t xml:space="preserve">SAST/DAST</t>
  </si>
  <si>
    <r>
      <rPr>
        <b val="true"/>
        <sz val="10"/>
        <rFont val="맑은 고딕"/>
        <family val="0"/>
        <charset val="1"/>
      </rPr>
      <t xml:space="preserve">3. SW </t>
    </r>
    <r>
      <rPr>
        <b val="true"/>
        <sz val="10"/>
        <rFont val="DejaVu Sans"/>
        <family val="2"/>
      </rPr>
      <t xml:space="preserve">라이센스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툴 소계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</si>
  <si>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DejaVu Sans"/>
        <family val="2"/>
      </rPr>
      <t xml:space="preserve">개발 인건비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외주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계약</t>
    </r>
    <r>
      <rPr>
        <b val="true"/>
        <sz val="11"/>
        <rFont val="맑은 고딕"/>
        <family val="0"/>
        <charset val="1"/>
      </rPr>
      <t xml:space="preserve">)</t>
    </r>
  </si>
  <si>
    <t xml:space="preserve">프론트엔드 개발 — 시니어</t>
  </si>
  <si>
    <t xml:space="preserve">M/M</t>
  </si>
  <si>
    <r>
      <rPr>
        <sz val="9"/>
        <color rgb="FF595959"/>
        <rFont val="DejaVu Sans"/>
        <family val="2"/>
      </rPr>
      <t xml:space="preserve">주요 </t>
    </r>
    <r>
      <rPr>
        <sz val="9"/>
        <color rgb="FF595959"/>
        <rFont val="맑은 고딕"/>
        <family val="0"/>
        <charset val="1"/>
      </rPr>
      <t xml:space="preserve">UI·</t>
    </r>
    <r>
      <rPr>
        <sz val="9"/>
        <color rgb="FF595959"/>
        <rFont val="DejaVu Sans"/>
        <family val="2"/>
      </rPr>
      <t xml:space="preserve">반응형</t>
    </r>
  </si>
  <si>
    <t xml:space="preserve">백엔드 개발 — 시니어</t>
  </si>
  <si>
    <r>
      <rPr>
        <sz val="9"/>
        <color rgb="FF595959"/>
        <rFont val="맑은 고딕"/>
        <family val="0"/>
        <charset val="1"/>
      </rPr>
      <t xml:space="preserve">API·</t>
    </r>
    <r>
      <rPr>
        <sz val="9"/>
        <color rgb="FF595959"/>
        <rFont val="DejaVu Sans"/>
        <family val="2"/>
      </rPr>
      <t xml:space="preserve">데이터 모델</t>
    </r>
  </si>
  <si>
    <r>
      <rPr>
        <sz val="11"/>
        <color theme="1"/>
        <rFont val="DejaVu Sans"/>
        <family val="2"/>
      </rPr>
      <t xml:space="preserve">백엔드 개발 — 미들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</si>
  <si>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결제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매칭 도메인</t>
    </r>
  </si>
  <si>
    <r>
      <rPr>
        <sz val="11"/>
        <color theme="1"/>
        <rFont val="Calibri"/>
        <family val="2"/>
        <charset val="1"/>
      </rPr>
      <t xml:space="preserve">AI/ML </t>
    </r>
    <r>
      <rPr>
        <sz val="11"/>
        <color theme="1"/>
        <rFont val="DejaVu Sans"/>
        <family val="2"/>
      </rPr>
      <t xml:space="preserve">엔지니어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</si>
  <si>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추천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자연어 모델</t>
    </r>
  </si>
  <si>
    <r>
      <rPr>
        <sz val="11"/>
        <color theme="1"/>
        <rFont val="Calibri"/>
        <family val="2"/>
        <charset val="1"/>
      </rPr>
      <t xml:space="preserve">DevOps·SRE 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</si>
  <si>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CI/CD·</t>
    </r>
    <r>
      <rPr>
        <sz val="9"/>
        <color rgb="FF595959"/>
        <rFont val="DejaVu Sans"/>
        <family val="2"/>
      </rPr>
      <t xml:space="preserve">관측</t>
    </r>
  </si>
  <si>
    <r>
      <rPr>
        <sz val="11"/>
        <color theme="1"/>
        <rFont val="Calibri"/>
        <family val="2"/>
        <charset val="1"/>
      </rPr>
      <t xml:space="preserve">QA·</t>
    </r>
    <r>
      <rPr>
        <sz val="11"/>
        <color theme="1"/>
        <rFont val="DejaVu Sans"/>
        <family val="2"/>
      </rPr>
      <t xml:space="preserve">테스트 엔지니어</t>
    </r>
  </si>
  <si>
    <t xml:space="preserve">릴리스 품질</t>
  </si>
  <si>
    <r>
      <rPr>
        <sz val="11"/>
        <color theme="1"/>
        <rFont val="DejaVu Sans"/>
        <family val="2"/>
      </rPr>
      <t xml:space="preserve">프로덕트 디자이너 </t>
    </r>
    <r>
      <rPr>
        <sz val="11"/>
        <color theme="1"/>
        <rFont val="Calibri"/>
        <family val="2"/>
        <charset val="1"/>
      </rPr>
      <t xml:space="preserve">(UX/UI)</t>
    </r>
  </si>
  <si>
    <r>
      <rPr>
        <sz val="9"/>
        <color rgb="FF595959"/>
        <rFont val="DejaVu Sans"/>
        <family val="2"/>
      </rPr>
      <t xml:space="preserve">디자인 시스템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핵심 흐름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</si>
  <si>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DejaVu Sans"/>
        <family val="2"/>
      </rPr>
      <t xml:space="preserve">개발 인건비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외주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계약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</si>
  <si>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5. </t>
    </r>
    <r>
      <rPr>
        <b val="true"/>
        <sz val="11"/>
        <rFont val="DejaVu Sans"/>
        <family val="2"/>
      </rPr>
      <t xml:space="preserve">디자인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콘텐츠</t>
    </r>
  </si>
  <si>
    <r>
      <rPr>
        <sz val="11"/>
        <color theme="1"/>
        <rFont val="DejaVu Sans"/>
        <family val="2"/>
      </rPr>
      <t xml:space="preserve">브랜드 디자인 — </t>
    </r>
    <r>
      <rPr>
        <sz val="11"/>
        <color theme="1"/>
        <rFont val="Calibri"/>
        <family val="2"/>
        <charset val="1"/>
      </rPr>
      <t xml:space="preserve">BI·</t>
    </r>
    <r>
      <rPr>
        <sz val="11"/>
        <color theme="1"/>
        <rFont val="DejaVu Sans"/>
        <family val="2"/>
      </rPr>
      <t xml:space="preserve">로고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매뉴얼</t>
    </r>
  </si>
  <si>
    <r>
      <rPr>
        <sz val="9"/>
        <color rgb="FF595959"/>
        <rFont val="DejaVu Sans"/>
        <family val="2"/>
      </rPr>
      <t xml:space="preserve">본 사업 </t>
    </r>
    <r>
      <rPr>
        <sz val="9"/>
        <color rgb="FF595959"/>
        <rFont val="맑은 고딕"/>
        <family val="0"/>
        <charset val="1"/>
      </rPr>
      <t xml:space="preserve">BI </t>
    </r>
    <r>
      <rPr>
        <sz val="9"/>
        <color rgb="FF595959"/>
        <rFont val="DejaVu Sans"/>
        <family val="2"/>
      </rPr>
      <t xml:space="preserve">통일</t>
    </r>
  </si>
  <si>
    <r>
      <rPr>
        <sz val="11"/>
        <color theme="1"/>
        <rFont val="DejaVu Sans"/>
        <family val="2"/>
      </rPr>
      <t xml:space="preserve">디자인 시스템 구축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토큰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컴포넌트</t>
    </r>
    <r>
      <rPr>
        <sz val="11"/>
        <color theme="1"/>
        <rFont val="Calibri"/>
        <family val="2"/>
        <charset val="1"/>
      </rPr>
      <t xml:space="preserve">)</t>
    </r>
  </si>
  <si>
    <t xml:space="preserve">재활용 가능 자산</t>
  </si>
  <si>
    <r>
      <rPr>
        <sz val="11"/>
        <color theme="1"/>
        <rFont val="Calibri"/>
        <family val="2"/>
        <charset val="1"/>
      </rPr>
      <t xml:space="preserve">UX </t>
    </r>
    <r>
      <rPr>
        <sz val="11"/>
        <color theme="1"/>
        <rFont val="DejaVu Sans"/>
        <family val="2"/>
      </rPr>
      <t xml:space="preserve">리서치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임대인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브랜드 인터뷰</t>
    </r>
    <r>
      <rPr>
        <sz val="11"/>
        <color theme="1"/>
        <rFont val="Calibri"/>
        <family val="2"/>
        <charset val="1"/>
      </rPr>
      <t xml:space="preserve">)</t>
    </r>
  </si>
  <si>
    <t xml:space="preserve">회</t>
  </si>
  <si>
    <r>
      <rPr>
        <sz val="9"/>
        <color rgb="FF595959"/>
        <rFont val="DejaVu Sans"/>
        <family val="2"/>
      </rPr>
      <t xml:space="preserve">회당 사례비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운영비</t>
    </r>
  </si>
  <si>
    <t xml:space="preserve">공간 사진 촬영</t>
  </si>
  <si>
    <t xml:space="preserve">동네별 매물 촬영</t>
  </si>
  <si>
    <r>
      <rPr>
        <sz val="11"/>
        <color theme="1"/>
        <rFont val="DejaVu Sans"/>
        <family val="2"/>
      </rPr>
      <t xml:space="preserve">영상 촬영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편집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동네 시그니처</t>
    </r>
    <r>
      <rPr>
        <sz val="11"/>
        <color theme="1"/>
        <rFont val="Calibri"/>
        <family val="2"/>
        <charset val="1"/>
      </rPr>
      <t xml:space="preserve">)</t>
    </r>
  </si>
  <si>
    <t xml:space="preserve">편</t>
  </si>
  <si>
    <r>
      <rPr>
        <sz val="9"/>
        <color rgb="FF595959"/>
        <rFont val="DejaVu Sans"/>
        <family val="2"/>
      </rPr>
      <t xml:space="preserve">동네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DejaVu Sans"/>
        <family val="2"/>
      </rPr>
      <t xml:space="preserve">편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DejaVu Sans"/>
        <family val="2"/>
      </rPr>
      <t xml:space="preserve">캠페인</t>
    </r>
  </si>
  <si>
    <r>
      <rPr>
        <sz val="11"/>
        <color theme="1"/>
        <rFont val="DejaVu Sans"/>
        <family val="2"/>
      </rPr>
      <t xml:space="preserve">매거진 콘텐츠 에디터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카피라이팅</t>
    </r>
  </si>
  <si>
    <t xml:space="preserve">동네 매거진</t>
  </si>
  <si>
    <r>
      <rPr>
        <sz val="11"/>
        <color theme="1"/>
        <rFont val="DejaVu Sans"/>
        <family val="2"/>
      </rPr>
      <t xml:space="preserve">인터뷰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스토리텔링 콘텐츠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</si>
  <si>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스토리</t>
    </r>
  </si>
  <si>
    <r>
      <rPr>
        <sz val="11"/>
        <color theme="1"/>
        <rFont val="Calibri"/>
        <family val="2"/>
        <charset val="1"/>
      </rPr>
      <t xml:space="preserve">OG·SNS </t>
    </r>
    <r>
      <rPr>
        <sz val="11"/>
        <color theme="1"/>
        <rFont val="DejaVu Sans"/>
        <family val="2"/>
      </rPr>
      <t xml:space="preserve">소재 디자인</t>
    </r>
  </si>
  <si>
    <t xml:space="preserve">캠페인 소재</t>
  </si>
  <si>
    <r>
      <rPr>
        <b val="true"/>
        <sz val="10"/>
        <rFont val="맑은 고딕"/>
        <family val="0"/>
        <charset val="1"/>
      </rPr>
      <t xml:space="preserve">5. </t>
    </r>
    <r>
      <rPr>
        <b val="true"/>
        <sz val="10"/>
        <rFont val="DejaVu Sans"/>
        <family val="2"/>
      </rPr>
      <t xml:space="preserve">디자인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콘텐츠 소계</t>
    </r>
  </si>
  <si>
    <r>
      <rPr>
        <b val="true"/>
        <sz val="11"/>
        <rFont val="맑은 고딕"/>
        <family val="0"/>
        <charset val="1"/>
      </rPr>
      <t xml:space="preserve">6. </t>
    </r>
    <r>
      <rPr>
        <b val="true"/>
        <sz val="11"/>
        <rFont val="DejaVu Sans"/>
        <family val="2"/>
      </rPr>
      <t xml:space="preserve">데이터 구축</t>
    </r>
  </si>
  <si>
    <t xml:space="preserve">공실 데이터 수집 — 현장 조사</t>
  </si>
  <si>
    <t xml:space="preserve">건</t>
  </si>
  <si>
    <r>
      <rPr>
        <sz val="9"/>
        <color rgb="FF595959"/>
        <rFont val="DejaVu Sans"/>
        <family val="2"/>
      </rPr>
      <t xml:space="preserve">건당 사례비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교통비</t>
    </r>
  </si>
  <si>
    <r>
      <rPr>
        <sz val="11"/>
        <color theme="1"/>
        <rFont val="DejaVu Sans"/>
        <family val="2"/>
      </rPr>
      <t xml:space="preserve">공실 데이터 검증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표준화</t>
    </r>
  </si>
  <si>
    <r>
      <rPr>
        <sz val="9"/>
        <color rgb="FF595959"/>
        <rFont val="DejaVu Sans"/>
        <family val="2"/>
      </rPr>
      <t xml:space="preserve">라벨링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중복 제거</t>
    </r>
  </si>
  <si>
    <r>
      <rPr>
        <sz val="11"/>
        <color theme="1"/>
        <rFont val="DejaVu Sans"/>
        <family val="2"/>
      </rPr>
      <t xml:space="preserve">상권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유동 데이터 구매</t>
    </r>
  </si>
  <si>
    <r>
      <rPr>
        <sz val="9"/>
        <color rgb="FF595959"/>
        <rFont val="DejaVu Sans"/>
        <family val="2"/>
      </rPr>
      <t xml:space="preserve">민간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DejaVu Sans"/>
        <family val="2"/>
      </rPr>
      <t xml:space="preserve">공공 데이터셋</t>
    </r>
  </si>
  <si>
    <r>
      <rPr>
        <sz val="11"/>
        <color theme="1"/>
        <rFont val="DejaVu Sans"/>
        <family val="2"/>
      </rPr>
      <t xml:space="preserve">행정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공공 데이터 정제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매핑</t>
    </r>
  </si>
  <si>
    <t xml:space="preserve">지자체 제공 데이터 가공</t>
  </si>
  <si>
    <r>
      <rPr>
        <sz val="11"/>
        <color theme="1"/>
        <rFont val="Calibri"/>
        <family val="2"/>
        <charset val="1"/>
      </rPr>
      <t xml:space="preserve">DB </t>
    </r>
    <r>
      <rPr>
        <sz val="11"/>
        <color theme="1"/>
        <rFont val="DejaVu Sans"/>
        <family val="2"/>
      </rPr>
      <t xml:space="preserve">스키마</t>
    </r>
    <r>
      <rPr>
        <sz val="11"/>
        <color theme="1"/>
        <rFont val="Calibri"/>
        <family val="2"/>
        <charset val="1"/>
      </rPr>
      <t xml:space="preserve">·ETL </t>
    </r>
    <r>
      <rPr>
        <sz val="11"/>
        <color theme="1"/>
        <rFont val="DejaVu Sans"/>
        <family val="2"/>
      </rPr>
      <t xml:space="preserve">파이프라인 구축</t>
    </r>
  </si>
  <si>
    <t xml:space="preserve">데이터 모델 표준화</t>
  </si>
  <si>
    <r>
      <rPr>
        <sz val="11"/>
        <color theme="1"/>
        <rFont val="DejaVu Sans"/>
        <family val="2"/>
      </rPr>
      <t xml:space="preserve">이미지 라벨링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태깅 작업</t>
    </r>
  </si>
  <si>
    <t xml:space="preserve">매물 사진 자동분류 학습용</t>
  </si>
  <si>
    <r>
      <rPr>
        <sz val="11"/>
        <color theme="1"/>
        <rFont val="DejaVu Sans"/>
        <family val="2"/>
      </rPr>
      <t xml:space="preserve">외부 매물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지역 데이터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DejaVu Sans"/>
        <family val="2"/>
      </rPr>
      <t xml:space="preserve">구독</t>
    </r>
  </si>
  <si>
    <t xml:space="preserve">보조 데이터 소스</t>
  </si>
  <si>
    <r>
      <rPr>
        <b val="true"/>
        <sz val="10"/>
        <rFont val="맑은 고딕"/>
        <family val="0"/>
        <charset val="1"/>
      </rPr>
      <t xml:space="preserve">6. </t>
    </r>
    <r>
      <rPr>
        <b val="true"/>
        <sz val="10"/>
        <rFont val="DejaVu Sans"/>
        <family val="2"/>
      </rPr>
      <t xml:space="preserve">데이터 구축 소계</t>
    </r>
  </si>
  <si>
    <r>
      <rPr>
        <b val="true"/>
        <sz val="11"/>
        <rFont val="맑은 고딕"/>
        <family val="0"/>
        <charset val="1"/>
      </rPr>
      <t xml:space="preserve">7. </t>
    </r>
    <r>
      <rPr>
        <b val="true"/>
        <sz val="11"/>
        <rFont val="DejaVu Sans"/>
        <family val="2"/>
      </rPr>
      <t xml:space="preserve">보안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법무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인증</t>
    </r>
  </si>
  <si>
    <r>
      <rPr>
        <sz val="11"/>
        <color theme="1"/>
        <rFont val="DejaVu Sans"/>
        <family val="2"/>
      </rPr>
      <t xml:space="preserve">모의해킹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웹 보안 진단</t>
    </r>
  </si>
  <si>
    <r>
      <rPr>
        <sz val="9"/>
        <color rgb="FF595959"/>
        <rFont val="DejaVu Sans"/>
        <family val="2"/>
      </rPr>
      <t xml:space="preserve">오픈 전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DejaVu Sans"/>
        <family val="2"/>
      </rPr>
      <t xml:space="preserve">회</t>
    </r>
  </si>
  <si>
    <r>
      <rPr>
        <sz val="11"/>
        <color theme="1"/>
        <rFont val="DejaVu Sans"/>
        <family val="2"/>
      </rPr>
      <t xml:space="preserve">개인정보 컨설팅</t>
    </r>
    <r>
      <rPr>
        <sz val="11"/>
        <color theme="1"/>
        <rFont val="Calibri"/>
        <family val="2"/>
        <charset val="1"/>
      </rPr>
      <t xml:space="preserve">·DPO </t>
    </r>
    <r>
      <rPr>
        <sz val="11"/>
        <color theme="1"/>
        <rFont val="DejaVu Sans"/>
        <family val="2"/>
      </rPr>
      <t xml:space="preserve">자문</t>
    </r>
  </si>
  <si>
    <t xml:space="preserve">월 정기 자문</t>
  </si>
  <si>
    <r>
      <rPr>
        <sz val="11"/>
        <color theme="1"/>
        <rFont val="Calibri"/>
        <family val="2"/>
        <charset val="1"/>
      </rPr>
      <t xml:space="preserve">ISMS-P </t>
    </r>
    <r>
      <rPr>
        <sz val="11"/>
        <color theme="1"/>
        <rFont val="DejaVu Sans"/>
        <family val="2"/>
      </rPr>
      <t xml:space="preserve">사전 준비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갭 분석</t>
    </r>
  </si>
  <si>
    <t xml:space="preserve">차년도 인증 대비</t>
  </si>
  <si>
    <r>
      <rPr>
        <sz val="11"/>
        <color theme="1"/>
        <rFont val="DejaVu Sans"/>
        <family val="2"/>
      </rPr>
      <t xml:space="preserve">법무 자문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약관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계약서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분쟁 대응</t>
    </r>
    <r>
      <rPr>
        <sz val="11"/>
        <color theme="1"/>
        <rFont val="Calibri"/>
        <family val="2"/>
        <charset val="1"/>
      </rPr>
      <t xml:space="preserve">)</t>
    </r>
  </si>
  <si>
    <t xml:space="preserve">단기 임대 계약 특수성</t>
  </si>
  <si>
    <r>
      <rPr>
        <sz val="11"/>
        <color theme="1"/>
        <rFont val="DejaVu Sans"/>
        <family val="2"/>
      </rPr>
      <t xml:space="preserve">사업자 등록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세무 위탁 </t>
    </r>
    <r>
      <rPr>
        <sz val="11"/>
        <color theme="1"/>
        <rFont val="Calibri"/>
        <family val="2"/>
        <charset val="1"/>
      </rPr>
      <t xml:space="preserve">(IT </t>
    </r>
    <r>
      <rPr>
        <sz val="11"/>
        <color theme="1"/>
        <rFont val="DejaVu Sans"/>
        <family val="2"/>
      </rPr>
      <t xml:space="preserve">부분</t>
    </r>
    <r>
      <rPr>
        <sz val="11"/>
        <color theme="1"/>
        <rFont val="Calibri"/>
        <family val="2"/>
        <charset val="1"/>
      </rPr>
      <t xml:space="preserve">)</t>
    </r>
  </si>
  <si>
    <t xml:space="preserve">세무 처리</t>
  </si>
  <si>
    <r>
      <rPr>
        <sz val="11"/>
        <color theme="1"/>
        <rFont val="DejaVu Sans"/>
        <family val="2"/>
      </rPr>
      <t xml:space="preserve">암호화 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인증서 </t>
    </r>
    <r>
      <rPr>
        <sz val="11"/>
        <color theme="1"/>
        <rFont val="Calibri"/>
        <family val="2"/>
        <charset val="1"/>
      </rPr>
      <t xml:space="preserve">(KMS)</t>
    </r>
  </si>
  <si>
    <t xml:space="preserve">개인정보 암호화</t>
  </si>
  <si>
    <r>
      <rPr>
        <sz val="11"/>
        <color theme="1"/>
        <rFont val="DejaVu Sans"/>
        <family val="2"/>
      </rPr>
      <t xml:space="preserve">배상책임 보험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사이버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플랫폼</t>
    </r>
    <r>
      <rPr>
        <sz val="11"/>
        <color theme="1"/>
        <rFont val="Calibri"/>
        <family val="2"/>
        <charset val="1"/>
      </rPr>
      <t xml:space="preserve">)</t>
    </r>
  </si>
  <si>
    <t xml:space="preserve">연간 보험료</t>
  </si>
  <si>
    <r>
      <rPr>
        <b val="true"/>
        <sz val="10"/>
        <rFont val="맑은 고딕"/>
        <family val="0"/>
        <charset val="1"/>
      </rPr>
      <t xml:space="preserve">7. </t>
    </r>
    <r>
      <rPr>
        <b val="true"/>
        <sz val="10"/>
        <rFont val="DejaVu Sans"/>
        <family val="2"/>
      </rPr>
      <t xml:space="preserve">보안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법무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인증 소계</t>
    </r>
  </si>
  <si>
    <r>
      <rPr>
        <b val="true"/>
        <sz val="11"/>
        <rFont val="맑은 고딕"/>
        <family val="0"/>
        <charset val="1"/>
      </rPr>
      <t xml:space="preserve">8. </t>
    </r>
    <r>
      <rPr>
        <b val="true"/>
        <sz val="11"/>
        <rFont val="DejaVu Sans"/>
        <family val="2"/>
      </rPr>
      <t xml:space="preserve">운영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고객지원</t>
    </r>
  </si>
  <si>
    <r>
      <rPr>
        <sz val="11"/>
        <color theme="1"/>
        <rFont val="Calibri"/>
        <family val="2"/>
        <charset val="1"/>
      </rPr>
      <t xml:space="preserve">CS·</t>
    </r>
    <r>
      <rPr>
        <sz val="11"/>
        <color theme="1"/>
        <rFont val="DejaVu Sans"/>
        <family val="2"/>
      </rPr>
      <t xml:space="preserve">헬프데스크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시간제 인력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</si>
  <si>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 응대</t>
    </r>
  </si>
  <si>
    <r>
      <rPr>
        <sz val="11"/>
        <color theme="1"/>
        <rFont val="DejaVu Sans"/>
        <family val="2"/>
      </rPr>
      <t xml:space="preserve">운영 매니저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</si>
  <si>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t xml:space="preserve">운영 총괄</t>
  </si>
  <si>
    <r>
      <rPr>
        <sz val="11"/>
        <color theme="1"/>
        <rFont val="DejaVu Sans"/>
        <family val="2"/>
      </rPr>
      <t xml:space="preserve">운영 매뉴얼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온보딩 가이드 제작</t>
    </r>
  </si>
  <si>
    <r>
      <rPr>
        <sz val="9"/>
        <color rgb="FF595959"/>
        <rFont val="DejaVu Sans"/>
        <family val="2"/>
      </rPr>
      <t xml:space="preserve">임대인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브랜드용</t>
    </r>
  </si>
  <si>
    <r>
      <rPr>
        <sz val="11"/>
        <color theme="1"/>
        <rFont val="DejaVu Sans"/>
        <family val="2"/>
      </rPr>
      <t xml:space="preserve">정기 점검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릴리스 운영비</t>
    </r>
  </si>
  <si>
    <r>
      <rPr>
        <sz val="9"/>
        <color rgb="FF595959"/>
        <rFont val="DejaVu Sans"/>
        <family val="2"/>
      </rPr>
      <t xml:space="preserve">운영 </t>
    </r>
    <r>
      <rPr>
        <sz val="9"/>
        <color rgb="FF595959"/>
        <rFont val="맑은 고딕"/>
        <family val="0"/>
        <charset val="1"/>
      </rPr>
      <t xml:space="preserve">SRE</t>
    </r>
  </si>
  <si>
    <r>
      <rPr>
        <sz val="11"/>
        <color theme="1"/>
        <rFont val="DejaVu Sans"/>
        <family val="2"/>
      </rPr>
      <t xml:space="preserve">커뮤니티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자문단 운영</t>
    </r>
  </si>
  <si>
    <t xml:space="preserve">분기 자문 회의</t>
  </si>
  <si>
    <t xml:space="preserve">긴급 대응 핫라인</t>
  </si>
  <si>
    <t xml:space="preserve">오프타임 장애 대응</t>
  </si>
  <si>
    <r>
      <rPr>
        <b val="true"/>
        <sz val="10"/>
        <rFont val="맑은 고딕"/>
        <family val="0"/>
        <charset val="1"/>
      </rPr>
      <t xml:space="preserve">8. </t>
    </r>
    <r>
      <rPr>
        <b val="true"/>
        <sz val="10"/>
        <rFont val="DejaVu Sans"/>
        <family val="2"/>
      </rPr>
      <t xml:space="preserve">운영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고객지원 소계</t>
    </r>
  </si>
  <si>
    <r>
      <rPr>
        <b val="true"/>
        <sz val="11"/>
        <rFont val="맑은 고딕"/>
        <family val="0"/>
        <charset val="1"/>
      </rPr>
      <t xml:space="preserve">9. </t>
    </r>
    <r>
      <rPr>
        <b val="true"/>
        <sz val="11"/>
        <rFont val="DejaVu Sans"/>
        <family val="2"/>
      </rPr>
      <t xml:space="preserve">마케팅 </t>
    </r>
    <r>
      <rPr>
        <b val="true"/>
        <sz val="11"/>
        <rFont val="맑은 고딕"/>
        <family val="0"/>
        <charset val="1"/>
      </rPr>
      <t xml:space="preserve">(IT </t>
    </r>
    <r>
      <rPr>
        <b val="true"/>
        <sz val="11"/>
        <rFont val="DejaVu Sans"/>
        <family val="2"/>
      </rPr>
      <t xml:space="preserve">영역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</si>
  <si>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SEO </t>
    </r>
    <r>
      <rPr>
        <sz val="11"/>
        <color theme="1"/>
        <rFont val="DejaVu Sans"/>
        <family val="2"/>
      </rPr>
      <t xml:space="preserve">최적화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구조화 데이터</t>
    </r>
  </si>
  <si>
    <r>
      <rPr>
        <sz val="9"/>
        <color rgb="FF595959"/>
        <rFont val="DejaVu Sans"/>
        <family val="2"/>
      </rPr>
      <t xml:space="preserve">구글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네이버 색인 최적화</t>
    </r>
  </si>
  <si>
    <r>
      <rPr>
        <sz val="11"/>
        <color theme="1"/>
        <rFont val="DejaVu Sans"/>
        <family val="2"/>
      </rPr>
      <t xml:space="preserve">검색 광고 </t>
    </r>
    <r>
      <rPr>
        <sz val="11"/>
        <color theme="1"/>
        <rFont val="Calibri"/>
        <family val="2"/>
        <charset val="1"/>
      </rPr>
      <t xml:space="preserve">(SEM)</t>
    </r>
  </si>
  <si>
    <r>
      <rPr>
        <sz val="9"/>
        <color rgb="FF595959"/>
        <rFont val="맑은 고딕"/>
        <family val="0"/>
        <charset val="1"/>
      </rPr>
      <t xml:space="preserve">Google·</t>
    </r>
    <r>
      <rPr>
        <sz val="9"/>
        <color rgb="FF595959"/>
        <rFont val="DejaVu Sans"/>
        <family val="2"/>
      </rPr>
      <t xml:space="preserve">네이버</t>
    </r>
  </si>
  <si>
    <r>
      <rPr>
        <sz val="11"/>
        <color theme="1"/>
        <rFont val="Calibri"/>
        <family val="2"/>
        <charset val="1"/>
      </rPr>
      <t xml:space="preserve">SNS </t>
    </r>
    <r>
      <rPr>
        <sz val="11"/>
        <color theme="1"/>
        <rFont val="DejaVu Sans"/>
        <family val="2"/>
      </rPr>
      <t xml:space="preserve">광고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인스타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유튜브</t>
    </r>
    <r>
      <rPr>
        <sz val="11"/>
        <color theme="1"/>
        <rFont val="Calibri"/>
        <family val="2"/>
        <charset val="1"/>
      </rPr>
      <t xml:space="preserve">)</t>
    </r>
  </si>
  <si>
    <t xml:space="preserve">타깃 캠페인</t>
  </si>
  <si>
    <r>
      <rPr>
        <sz val="11"/>
        <color theme="1"/>
        <rFont val="DejaVu Sans"/>
        <family val="2"/>
      </rPr>
      <t xml:space="preserve">리타게팅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전환 추적 인프라</t>
    </r>
  </si>
  <si>
    <r>
      <rPr>
        <sz val="9"/>
        <color rgb="FF595959"/>
        <rFont val="맑은 고딕"/>
        <family val="0"/>
        <charset val="1"/>
      </rPr>
      <t xml:space="preserve">GA4·</t>
    </r>
    <r>
      <rPr>
        <sz val="9"/>
        <color rgb="FF595959"/>
        <rFont val="DejaVu Sans"/>
        <family val="2"/>
      </rPr>
      <t xml:space="preserve">픽셀</t>
    </r>
  </si>
  <si>
    <r>
      <rPr>
        <sz val="11"/>
        <color theme="1"/>
        <rFont val="Calibri"/>
        <family val="2"/>
        <charset val="1"/>
      </rPr>
      <t xml:space="preserve">A/B </t>
    </r>
    <r>
      <rPr>
        <sz val="11"/>
        <color theme="1"/>
        <rFont val="DejaVu Sans"/>
        <family val="2"/>
      </rPr>
      <t xml:space="preserve">테스트</t>
    </r>
    <r>
      <rPr>
        <sz val="11"/>
        <color theme="1"/>
        <rFont val="Calibri"/>
        <family val="2"/>
        <charset val="1"/>
      </rPr>
      <t xml:space="preserve">·CRO</t>
    </r>
  </si>
  <si>
    <t xml:space="preserve">전환율 최적화</t>
  </si>
  <si>
    <r>
      <rPr>
        <sz val="11"/>
        <color theme="1"/>
        <rFont val="DejaVu Sans"/>
        <family val="2"/>
      </rPr>
      <t xml:space="preserve">매거진 </t>
    </r>
    <r>
      <rPr>
        <sz val="11"/>
        <color theme="1"/>
        <rFont val="Calibri"/>
        <family val="2"/>
        <charset val="1"/>
      </rPr>
      <t xml:space="preserve">OG·</t>
    </r>
    <r>
      <rPr>
        <sz val="11"/>
        <color theme="1"/>
        <rFont val="DejaVu Sans"/>
        <family val="2"/>
      </rPr>
      <t xml:space="preserve">랜딩 페이지 제작</t>
    </r>
  </si>
  <si>
    <t xml:space="preserve">동네별 랜딩</t>
  </si>
  <si>
    <r>
      <rPr>
        <sz val="11"/>
        <color theme="1"/>
        <rFont val="DejaVu Sans"/>
        <family val="2"/>
      </rPr>
      <t xml:space="preserve">기자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매체 협력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디지털 </t>
    </r>
    <r>
      <rPr>
        <sz val="11"/>
        <color theme="1"/>
        <rFont val="Calibri"/>
        <family val="2"/>
        <charset val="1"/>
      </rPr>
      <t xml:space="preserve">PR)</t>
    </r>
  </si>
  <si>
    <t xml:space="preserve">런칭 시점</t>
  </si>
  <si>
    <r>
      <rPr>
        <b val="true"/>
        <sz val="10"/>
        <rFont val="맑은 고딕"/>
        <family val="0"/>
        <charset val="1"/>
      </rPr>
      <t xml:space="preserve">9. </t>
    </r>
    <r>
      <rPr>
        <b val="true"/>
        <sz val="10"/>
        <rFont val="DejaVu Sans"/>
        <family val="2"/>
      </rPr>
      <t xml:space="preserve">마케팅 </t>
    </r>
    <r>
      <rPr>
        <b val="true"/>
        <sz val="10"/>
        <rFont val="맑은 고딕"/>
        <family val="0"/>
        <charset val="1"/>
      </rPr>
      <t xml:space="preserve">(IT </t>
    </r>
    <r>
      <rPr>
        <b val="true"/>
        <sz val="10"/>
        <rFont val="DejaVu Sans"/>
        <family val="2"/>
      </rPr>
      <t xml:space="preserve">영역</t>
    </r>
    <r>
      <rPr>
        <b val="true"/>
        <sz val="10"/>
        <rFont val="맑은 고딕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</si>
  <si>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1"/>
        <rFont val="맑은 고딕"/>
        <family val="0"/>
        <charset val="1"/>
      </rPr>
      <t xml:space="preserve">10. </t>
    </r>
    <r>
      <rPr>
        <b val="true"/>
        <sz val="11"/>
        <rFont val="DejaVu Sans"/>
        <family val="2"/>
      </rPr>
      <t xml:space="preserve">사업관리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DejaVu Sans"/>
        <family val="2"/>
      </rPr>
      <t xml:space="preserve">예비비</t>
    </r>
  </si>
  <si>
    <r>
      <rPr>
        <sz val="11"/>
        <color theme="1"/>
        <rFont val="DejaVu Sans"/>
        <family val="2"/>
      </rPr>
      <t xml:space="preserve">사업총괄 </t>
    </r>
    <r>
      <rPr>
        <sz val="11"/>
        <color theme="1"/>
        <rFont val="Calibri"/>
        <family val="2"/>
        <charset val="1"/>
      </rPr>
      <t xml:space="preserve">PM (</t>
    </r>
    <r>
      <rPr>
        <sz val="11"/>
        <color theme="1"/>
        <rFont val="DejaVu Sans"/>
        <family val="2"/>
      </rPr>
      <t xml:space="preserve">파트타임</t>
    </r>
    <r>
      <rPr>
        <sz val="11"/>
        <color theme="1"/>
        <rFont val="Calibri"/>
        <family val="2"/>
        <charset val="1"/>
      </rPr>
      <t xml:space="preserve">)</t>
    </r>
  </si>
  <si>
    <t xml:space="preserve">사업 총괄</t>
  </si>
  <si>
    <r>
      <rPr>
        <sz val="11"/>
        <color theme="1"/>
        <rFont val="DejaVu Sans"/>
        <family val="2"/>
      </rPr>
      <t xml:space="preserve">회계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세무 위탁</t>
    </r>
  </si>
  <si>
    <t xml:space="preserve">월별 정산</t>
  </si>
  <si>
    <r>
      <rPr>
        <sz val="11"/>
        <color theme="1"/>
        <rFont val="DejaVu Sans"/>
        <family val="2"/>
      </rPr>
      <t xml:space="preserve">일반관리비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사무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통신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교통</t>
    </r>
    <r>
      <rPr>
        <sz val="11"/>
        <color theme="1"/>
        <rFont val="Calibri"/>
        <family val="2"/>
        <charset val="1"/>
      </rPr>
      <t xml:space="preserve">)</t>
    </r>
  </si>
  <si>
    <t xml:space="preserve">운영 일반비</t>
  </si>
  <si>
    <r>
      <rPr>
        <sz val="11"/>
        <color theme="1"/>
        <rFont val="DejaVu Sans"/>
        <family val="2"/>
      </rPr>
      <t xml:space="preserve">회의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자료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인쇄</t>
    </r>
  </si>
  <si>
    <t xml:space="preserve">보고 자료 제작</t>
  </si>
  <si>
    <t xml:space="preserve">예비비</t>
  </si>
  <si>
    <t xml:space="preserve">사업 추진 중 발생할 수 있는 변동 비용 대응</t>
  </si>
  <si>
    <r>
      <rPr>
        <b val="true"/>
        <sz val="10"/>
        <rFont val="맑은 고딕"/>
        <family val="0"/>
        <charset val="1"/>
      </rPr>
      <t xml:space="preserve">10. </t>
    </r>
    <r>
      <rPr>
        <b val="true"/>
        <sz val="10"/>
        <rFont val="DejaVu Sans"/>
        <family val="2"/>
      </rPr>
      <t xml:space="preserve">사업관리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예비비 소계</t>
    </r>
  </si>
  <si>
    <t xml:space="preserve">총  합  계</t>
  </si>
  <si>
    <r>
      <rPr>
        <b val="true"/>
        <sz val="16"/>
        <rFont val="DejaVu Sans"/>
        <family val="2"/>
      </rPr>
      <t xml:space="preserve">작성팀 가이드 </t>
    </r>
    <r>
      <rPr>
        <b val="true"/>
        <sz val="16"/>
        <rFont val="맑은 고딕"/>
        <family val="0"/>
        <charset val="1"/>
      </rPr>
      <t xml:space="preserve">(</t>
    </r>
    <r>
      <rPr>
        <b val="true"/>
        <sz val="16"/>
        <rFont val="DejaVu Sans"/>
        <family val="2"/>
      </rPr>
      <t xml:space="preserve">내부 참고용</t>
    </r>
    <r>
      <rPr>
        <b val="true"/>
        <sz val="16"/>
        <rFont val="맑은 고딕"/>
        <family val="0"/>
        <charset val="1"/>
      </rPr>
      <t xml:space="preserve">)</t>
    </r>
  </si>
  <si>
    <r>
      <rPr>
        <b val="true"/>
        <sz val="11"/>
        <color rgb="FFFF5A1F"/>
        <rFont val="DejaVu Sans"/>
        <family val="2"/>
      </rPr>
      <t xml:space="preserve">본 시트는 작성팀 내부 참고용입니다</t>
    </r>
    <r>
      <rPr>
        <b val="true"/>
        <sz val="11"/>
        <color rgb="FFFF5A1F"/>
        <rFont val="맑은 고딕"/>
        <family val="0"/>
        <charset val="1"/>
      </rPr>
      <t xml:space="preserve">. </t>
    </r>
    <r>
      <rPr>
        <b val="true"/>
        <sz val="11"/>
        <color rgb="FFFF5A1F"/>
        <rFont val="DejaVu Sans"/>
        <family val="2"/>
      </rPr>
      <t xml:space="preserve">외부 제출 시 본 시트는 삭제하시기 바랍니다</t>
    </r>
    <r>
      <rPr>
        <b val="true"/>
        <sz val="11"/>
        <color rgb="FFFF5A1F"/>
        <rFont val="맑은 고딕"/>
        <family val="0"/>
        <charset val="1"/>
      </rPr>
      <t xml:space="preserve">.</t>
    </r>
  </si>
  <si>
    <t xml:space="preserve">■ 시트 구성</t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</si>
  <si>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표지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요약 — 시나리오별 예산 규모</t>
    </r>
    <r>
      <rPr>
        <sz val="11"/>
        <color rgb="FF404040"/>
        <rFont val="맑은 고딕"/>
        <family val="0"/>
        <charset val="1"/>
      </rPr>
      <t xml:space="preserve">, </t>
    </r>
    <r>
      <rPr>
        <sz val="11"/>
        <color rgb="FF404040"/>
        <rFont val="DejaVu Sans"/>
        <family val="2"/>
      </rPr>
      <t xml:space="preserve">카테고리별 비교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</si>
  <si>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상세 — 항목별 단가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수량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기간 모델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편집은 이 시트에서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</si>
  <si>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작성팀 가이드 — 본 시트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외부 제출 시 삭제</t>
    </r>
    <r>
      <rPr>
        <sz val="11"/>
        <color rgb="FF404040"/>
        <rFont val="맑은 고딕"/>
        <family val="0"/>
        <charset val="1"/>
      </rPr>
      <t xml:space="preserve">)</t>
    </r>
  </si>
  <si>
    <t xml:space="preserve">■ 색상 규약</t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</si>
  <si>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노란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파란 글씨 — 입력값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단가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수량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기간</t>
    </r>
    <r>
      <rPr>
        <sz val="11"/>
        <color rgb="FF404040"/>
        <rFont val="맑은 고딕"/>
        <family val="0"/>
        <charset val="1"/>
      </rPr>
      <t xml:space="preserve">). </t>
    </r>
    <r>
      <rPr>
        <sz val="11"/>
        <color rgb="FF404040"/>
        <rFont val="DejaVu Sans"/>
        <family val="2"/>
      </rPr>
      <t xml:space="preserve">시나리오 조정 시 여기만 수정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</si>
  <si>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크림 배경 — 시나리오 예산 규모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표지 </t>
    </r>
    <r>
      <rPr>
        <sz val="11"/>
        <color rgb="FF404040"/>
        <rFont val="맑은 고딕"/>
        <family val="0"/>
        <charset val="1"/>
      </rPr>
      <t xml:space="preserve">C10·C11)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</si>
  <si>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베이지 배경 — 예비비 단가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자동 잔액 보정 수식</t>
    </r>
    <r>
      <rPr>
        <sz val="11"/>
        <color rgb="FF404040"/>
        <rFont val="맑은 고딕"/>
        <family val="0"/>
        <charset val="1"/>
      </rPr>
      <t xml:space="preserve">). </t>
    </r>
    <r>
      <rPr>
        <sz val="11"/>
        <color rgb="FF404040"/>
        <rFont val="DejaVu Sans"/>
        <family val="2"/>
      </rPr>
      <t xml:space="preserve">직접 편집 금지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</si>
  <si>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검은 글씨 — 일반 수식 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소계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합계</t>
    </r>
    <r>
      <rPr>
        <sz val="11"/>
        <color rgb="FF404040"/>
        <rFont val="맑은 고딕"/>
        <family val="0"/>
        <charset val="1"/>
      </rPr>
      <t xml:space="preserve">)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</si>
  <si>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초록 글씨 — 다른 시트 참조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</si>
  <si>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어두운 배경 </t>
    </r>
    <r>
      <rPr>
        <sz val="11"/>
        <color rgb="FF404040"/>
        <rFont val="맑은 고딕"/>
        <family val="0"/>
        <charset val="1"/>
      </rPr>
      <t xml:space="preserve">+ </t>
    </r>
    <r>
      <rPr>
        <sz val="11"/>
        <color rgb="FF404040"/>
        <rFont val="DejaVu Sans"/>
        <family val="2"/>
      </rPr>
      <t xml:space="preserve">흰 글씨 — 합계 행</t>
    </r>
  </si>
  <si>
    <t xml:space="preserve">■ 시나리오 규모 변경 시</t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</si>
  <si>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표지의 시나리오 예산 규모 셀</t>
    </r>
    <r>
      <rPr>
        <sz val="11"/>
        <color rgb="FF404040"/>
        <rFont val="맑은 고딕"/>
        <family val="0"/>
        <charset val="1"/>
      </rPr>
      <t xml:space="preserve">(C10·C11)</t>
    </r>
    <r>
      <rPr>
        <sz val="11"/>
        <color rgb="FF404040"/>
        <rFont val="DejaVu Sans"/>
        <family val="2"/>
      </rPr>
      <t xml:space="preserve">을 변경하면 예비비 행이 잔액을 보정해 합계가 맞춰진다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</si>
  <si>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다만 합리적 보고를 위해서는 단순 잔액 보정이 아니라</t>
    </r>
    <r>
      <rPr>
        <sz val="11"/>
        <color rgb="FF404040"/>
        <rFont val="맑은 고딕"/>
        <family val="0"/>
        <charset val="1"/>
      </rPr>
      <t xml:space="preserve">, </t>
    </r>
    <r>
      <rPr>
        <sz val="11"/>
        <color rgb="FF404040"/>
        <rFont val="DejaVu Sans"/>
        <family val="2"/>
      </rPr>
      <t xml:space="preserve">각 항목의 단가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인력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기간을 함께 재산정하여 자연스러운 분포를 만드는 것이 권장된다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</si>
  <si>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1F1F"/>
        <rFont val="DejaVu Sans"/>
        <family val="2"/>
      </rPr>
      <t xml:space="preserve">■ 항목 추가</t>
    </r>
    <r>
      <rPr>
        <b val="true"/>
        <sz val="12"/>
        <color rgb="FF1F1F1F"/>
        <rFont val="맑은 고딕"/>
        <family val="0"/>
        <charset val="1"/>
      </rPr>
      <t xml:space="preserve">·</t>
    </r>
    <r>
      <rPr>
        <b val="true"/>
        <sz val="12"/>
        <color rgb="FF1F1F1F"/>
        <rFont val="DejaVu Sans"/>
        <family val="2"/>
      </rPr>
      <t xml:space="preserve">삭제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</si>
  <si>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행 단위로 자유롭게 추가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삭제 가능</t>
    </r>
    <r>
      <rPr>
        <sz val="11"/>
        <color rgb="FF404040"/>
        <rFont val="맑은 고딕"/>
        <family val="0"/>
        <charset val="1"/>
      </rPr>
      <t xml:space="preserve">. </t>
    </r>
    <r>
      <rPr>
        <sz val="11"/>
        <color rgb="FF404040"/>
        <rFont val="DejaVu Sans"/>
        <family val="2"/>
      </rPr>
      <t xml:space="preserve">카테고리 소계의 </t>
    </r>
    <r>
      <rPr>
        <sz val="11"/>
        <color rgb="FF404040"/>
        <rFont val="맑은 고딕"/>
        <family val="0"/>
        <charset val="1"/>
      </rPr>
      <t xml:space="preserve">SUM </t>
    </r>
    <r>
      <rPr>
        <sz val="11"/>
        <color rgb="FF404040"/>
        <rFont val="DejaVu Sans"/>
        <family val="2"/>
      </rPr>
      <t xml:space="preserve">범위만 갱신하면 됨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</si>
  <si>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카테고리</t>
    </r>
    <r>
      <rPr>
        <sz val="11"/>
        <color rgb="FF404040"/>
        <rFont val="맑은 고딕"/>
        <family val="0"/>
        <charset val="1"/>
      </rPr>
      <t xml:space="preserve">(1~10</t>
    </r>
    <r>
      <rPr>
        <sz val="11"/>
        <color rgb="FF404040"/>
        <rFont val="DejaVu Sans"/>
        <family val="2"/>
      </rPr>
      <t xml:space="preserve">번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DejaVu Sans"/>
        <family val="2"/>
      </rPr>
      <t xml:space="preserve">는 표준 분류이므로 가능하면 고정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</si>
  <si>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1F1F"/>
        <rFont val="DejaVu Sans"/>
        <family val="2"/>
      </rPr>
      <t xml:space="preserve">■ 단위</t>
    </r>
    <r>
      <rPr>
        <b val="true"/>
        <sz val="12"/>
        <color rgb="FF1F1F1F"/>
        <rFont val="맑은 고딕"/>
        <family val="0"/>
        <charset val="1"/>
      </rPr>
      <t xml:space="preserve">·</t>
    </r>
    <r>
      <rPr>
        <b val="true"/>
        <sz val="12"/>
        <color rgb="FF1F1F1F"/>
        <rFont val="DejaVu Sans"/>
        <family val="2"/>
      </rPr>
      <t xml:space="preserve">기간</t>
    </r>
  </si>
  <si>
    <r>
      <rPr>
        <sz val="11"/>
        <color rgb="FF404040"/>
        <rFont val="맑은 고딕"/>
        <family val="0"/>
        <charset val="1"/>
      </rPr>
      <t xml:space="preserve">  · '</t>
    </r>
    <r>
      <rPr>
        <sz val="11"/>
        <color rgb="FF404040"/>
        <rFont val="DejaVu Sans"/>
        <family val="2"/>
      </rPr>
      <t xml:space="preserve">월</t>
    </r>
    <r>
      <rPr>
        <sz val="11"/>
        <color rgb="FF404040"/>
        <rFont val="맑은 고딕"/>
        <family val="0"/>
        <charset val="1"/>
      </rPr>
      <t xml:space="preserve">'·'M/M' — </t>
    </r>
    <r>
      <rPr>
        <sz val="11"/>
        <color rgb="FF404040"/>
        <rFont val="DejaVu Sans"/>
        <family val="2"/>
      </rPr>
      <t xml:space="preserve">기간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DejaVu Sans"/>
        <family val="2"/>
      </rPr>
      <t xml:space="preserve">개월</t>
    </r>
    <r>
      <rPr>
        <sz val="11"/>
        <color rgb="FF404040"/>
        <rFont val="맑은 고딕"/>
        <family val="0"/>
        <charset val="1"/>
      </rPr>
      <t xml:space="preserve">) </t>
    </r>
    <r>
      <rPr>
        <sz val="11"/>
        <color rgb="FF404040"/>
        <rFont val="DejaVu Sans"/>
        <family val="2"/>
      </rPr>
      <t xml:space="preserve">셀이 곱해진다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</si>
  <si>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'</t>
    </r>
    <r>
      <rPr>
        <sz val="11"/>
        <color rgb="FF404040"/>
        <rFont val="DejaVu Sans"/>
        <family val="2"/>
      </rPr>
      <t xml:space="preserve">식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편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회</t>
    </r>
    <r>
      <rPr>
        <sz val="11"/>
        <color rgb="FF404040"/>
        <rFont val="맑은 고딕"/>
        <family val="0"/>
        <charset val="1"/>
      </rPr>
      <t xml:space="preserve">'·'</t>
    </r>
    <r>
      <rPr>
        <sz val="11"/>
        <color rgb="FF404040"/>
        <rFont val="DejaVu Sans"/>
        <family val="2"/>
      </rPr>
      <t xml:space="preserve">건</t>
    </r>
    <r>
      <rPr>
        <sz val="11"/>
        <color rgb="FF404040"/>
        <rFont val="맑은 고딕"/>
        <family val="0"/>
        <charset val="1"/>
      </rPr>
      <t xml:space="preserve">' — </t>
    </r>
    <r>
      <rPr>
        <sz val="11"/>
        <color rgb="FF404040"/>
        <rFont val="DejaVu Sans"/>
        <family val="2"/>
      </rPr>
      <t xml:space="preserve">기간 </t>
    </r>
    <r>
      <rPr>
        <sz val="11"/>
        <color rgb="FF404040"/>
        <rFont val="맑은 고딕"/>
        <family val="0"/>
        <charset val="1"/>
      </rPr>
      <t xml:space="preserve">= 1 </t>
    </r>
    <r>
      <rPr>
        <sz val="11"/>
        <color rgb="FF404040"/>
        <rFont val="DejaVu Sans"/>
        <family val="2"/>
      </rPr>
      <t xml:space="preserve">고정</t>
    </r>
    <r>
      <rPr>
        <sz val="11"/>
        <color rgb="FF404040"/>
        <rFont val="맑은 고딕"/>
        <family val="0"/>
        <charset val="1"/>
      </rPr>
      <t xml:space="preserve">.</t>
    </r>
  </si>
  <si>
    <t xml:space="preserve">■ 예산 범위</t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</si>
  <si>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본 예산안은 </t>
    </r>
    <r>
      <rPr>
        <sz val="11"/>
        <color rgb="FF404040"/>
        <rFont val="맑은 고딕"/>
        <family val="0"/>
        <charset val="1"/>
      </rPr>
      <t xml:space="preserve">IT </t>
    </r>
    <r>
      <rPr>
        <sz val="11"/>
        <color rgb="FF404040"/>
        <rFont val="DejaVu Sans"/>
        <family val="2"/>
      </rPr>
      <t xml:space="preserve">영역에 한함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</si>
  <si>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맑은 고딕"/>
        <family val="0"/>
        <charset val="1"/>
      </rPr>
      <t xml:space="preserve">  · </t>
    </r>
    <r>
      <rPr>
        <sz val="11"/>
        <color rgb="FF404040"/>
        <rFont val="DejaVu Sans"/>
        <family val="2"/>
      </rPr>
      <t xml:space="preserve">본 예산 범위</t>
    </r>
    <r>
      <rPr>
        <sz val="11"/>
        <color rgb="FF404040"/>
        <rFont val="맑은 고딕"/>
        <family val="0"/>
        <charset val="1"/>
      </rPr>
      <t xml:space="preserve">: </t>
    </r>
    <r>
      <rPr>
        <sz val="11"/>
        <color rgb="FF404040"/>
        <rFont val="DejaVu Sans"/>
        <family val="2"/>
      </rPr>
      <t xml:space="preserve">구축기</t>
    </r>
    <r>
      <rPr>
        <sz val="11"/>
        <color rgb="FF404040"/>
        <rFont val="맑은 고딕"/>
        <family val="0"/>
        <charset val="1"/>
      </rPr>
      <t xml:space="preserve">(2026. 6. ~ 2026. 12., 6</t>
    </r>
    <r>
      <rPr>
        <sz val="11"/>
        <color rgb="FF404040"/>
        <rFont val="DejaVu Sans"/>
        <family val="2"/>
      </rPr>
      <t xml:space="preserve">개월</t>
    </r>
    <r>
      <rPr>
        <sz val="11"/>
        <color rgb="FF404040"/>
        <rFont val="맑은 고딕"/>
        <family val="0"/>
        <charset val="1"/>
      </rPr>
      <t xml:space="preserve">). </t>
    </r>
    <r>
      <rPr>
        <sz val="11"/>
        <color rgb="FF404040"/>
        <rFont val="DejaVu Sans"/>
        <family val="2"/>
      </rPr>
      <t xml:space="preserve">운영기 이후의 운영비는 사업 진행 결과에 따라 별도 산정</t>
    </r>
    <r>
      <rPr>
        <sz val="11"/>
        <color rgb="FF404040"/>
        <rFont val="맑은 고딕"/>
        <family val="0"/>
        <charset val="1"/>
      </rPr>
      <t xml:space="preserve">.</t>
    </r>
  </si>
  <si>
    <t xml:space="preserve">■ 검토 흐름</t>
  </si>
  <si>
    <r>
      <rPr>
        <sz val="11"/>
        <color rgb="FF404040"/>
        <rFont val="맑은 고딕"/>
        <family val="0"/>
        <charset val="1"/>
      </rPr>
      <t xml:space="preserve">  · v0.1 — </t>
    </r>
    <r>
      <rPr>
        <sz val="11"/>
        <color rgb="FF404040"/>
        <rFont val="DejaVu Sans"/>
        <family val="2"/>
      </rPr>
      <t xml:space="preserve">초안</t>
    </r>
  </si>
  <si>
    <r>
      <rPr>
        <sz val="11"/>
        <color rgb="FF404040"/>
        <rFont val="맑은 고딕"/>
        <family val="0"/>
        <charset val="1"/>
      </rPr>
      <t xml:space="preserve">  · v0.2 — </t>
    </r>
    <r>
      <rPr>
        <sz val="11"/>
        <color rgb="FF404040"/>
        <rFont val="DejaVu Sans"/>
        <family val="2"/>
      </rPr>
      <t xml:space="preserve">사업 개요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환경 분석 보강</t>
    </r>
    <r>
      <rPr>
        <sz val="11"/>
        <color rgb="FF404040"/>
        <rFont val="맑은 고딕"/>
        <family val="0"/>
        <charset val="1"/>
      </rPr>
      <t xml:space="preserve">, </t>
    </r>
    <r>
      <rPr>
        <sz val="11"/>
        <color rgb="FF404040"/>
        <rFont val="DejaVu Sans"/>
        <family val="2"/>
      </rPr>
      <t xml:space="preserve">외부 노출 부적절 표현 정리</t>
    </r>
  </si>
  <si>
    <r>
      <rPr>
        <sz val="11"/>
        <color rgb="FF404040"/>
        <rFont val="맑은 고딕"/>
        <family val="0"/>
        <charset val="1"/>
      </rPr>
      <t xml:space="preserve">  · v1.0 — </t>
    </r>
    <r>
      <rPr>
        <sz val="11"/>
        <color rgb="FF404040"/>
        <rFont val="DejaVu Sans"/>
        <family val="2"/>
      </rPr>
      <t xml:space="preserve">전략 회의 결과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DejaVu Sans"/>
        <family val="2"/>
      </rPr>
      <t xml:space="preserve">단가 출처 확정 반영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</si>
</sst>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1F1F"/>
      <name val="맑은 고딕"/>
      <family val="0"/>
      <charset val="1"/>
    </font>
    <font>
      <b val="true"/>
      <sz val="20"/>
      <color rgb="FF1F1F1F"/>
      <name val="DejaVu Sans"/>
      <family val="2"/>
    </font>
    <font>
      <b val="true"/>
      <sz val="14"/>
      <color rgb="FFFF5A1F"/>
      <name val="DejaVu Sans"/>
      <family val="2"/>
    </font>
    <font>
      <b val="true"/>
      <sz val="14"/>
      <color rgb="FFFF5A1F"/>
      <name val="맑은 고딕"/>
      <family val="0"/>
      <charset val="1"/>
    </font>
    <font>
      <i val="true"/>
      <sz val="10"/>
      <color rgb="FF8C8C8C"/>
      <name val="DejaVu Sans"/>
      <family val="2"/>
    </font>
    <font>
      <i val="true"/>
      <sz val="10"/>
      <color rgb="FF8C8C8C"/>
      <name val="맑은 고딕"/>
      <family val="0"/>
      <charset val="1"/>
    </font>
    <font>
      <sz val="10"/>
      <color rgb="FF595959"/>
      <name val="DejaVu Sans"/>
      <family val="2"/>
    </font>
    <font>
      <sz val="10"/>
      <color rgb="FF595959"/>
      <name val="맑은 고딕"/>
      <family val="0"/>
      <charset val="1"/>
    </font>
    <font>
      <b val="true"/>
      <sz val="11"/>
      <color rgb="FF1F1F1F"/>
      <name val="DejaVu Sans"/>
      <family val="2"/>
    </font>
    <font>
      <b val="true"/>
      <sz val="11"/>
      <name val="DejaVu Sans"/>
      <family val="2"/>
    </font>
    <font>
      <b val="true"/>
      <sz val="12"/>
      <color rgb="FF1F1F1F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1"/>
      <name val="맑은 고딕"/>
      <family val="0"/>
      <charset val="1"/>
    </font>
    <font>
      <sz val="11"/>
      <name val="DejaVu Sans"/>
      <family val="2"/>
    </font>
    <font>
      <sz val="11"/>
      <color rgb="FF008000"/>
      <name val="맑은 고딕"/>
      <family val="0"/>
      <charset val="1"/>
    </font>
    <font>
      <sz val="11"/>
      <color rgb="FF000000"/>
      <name val="맑은 고딕"/>
      <family val="0"/>
      <charset val="1"/>
    </font>
    <font>
      <b val="true"/>
      <sz val="12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9"/>
      <color rgb="FF595959"/>
      <name val="DejaVu Sans"/>
      <family val="2"/>
    </font>
    <font>
      <b val="true"/>
      <sz val="9"/>
      <color rgb="FF595959"/>
      <name val="맑은 고딕"/>
      <family val="0"/>
      <charset val="1"/>
    </font>
    <font>
      <b val="true"/>
      <sz val="11"/>
      <name val="맑은 고딕"/>
      <family val="0"/>
      <charset val="1"/>
    </font>
    <font>
      <sz val="11"/>
      <color theme="1"/>
      <name val="DejaVu Sans"/>
      <family val="2"/>
    </font>
    <font>
      <sz val="10"/>
      <color rgb="FF0000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595959"/>
      <name val="DejaVu Sans"/>
      <family val="2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b val="true"/>
      <sz val="16"/>
      <name val="DejaVu Sans"/>
      <family val="2"/>
    </font>
    <font>
      <b val="true"/>
      <sz val="16"/>
      <name val="맑은 고딕"/>
      <family val="0"/>
      <charset val="1"/>
    </font>
    <font>
      <b val="true"/>
      <sz val="11"/>
      <color rgb="FFFF5A1F"/>
      <name val="DejaVu Sans"/>
      <family val="2"/>
    </font>
    <font>
      <b val="true"/>
      <sz val="11"/>
      <color rgb="FFFF5A1F"/>
      <name val="맑은 고딕"/>
      <family val="0"/>
      <charset val="1"/>
    </font>
    <font>
      <sz val="11"/>
      <color rgb="FF404040"/>
      <name val="맑은 고딕"/>
      <family val="0"/>
      <charset val="1"/>
    </font>
    <font>
      <b val="true"/>
      <sz val="12"/>
      <color rgb="FF1F1F1F"/>
      <name val="DejaVu Sans"/>
      <family val="2"/>
    </font>
    <font>
      <sz val="11"/>
      <color rgb="FF404040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EFE7D9"/>
        <bgColor rgb="FFF4EFE6"/>
      </patternFill>
    </fill>
    <fill>
      <patternFill patternType="solid">
        <fgColor rgb="FFF4EFE6"/>
        <bgColor rgb="FFFAF6EE"/>
      </patternFill>
    </fill>
    <fill>
      <patternFill patternType="solid">
        <fgColor rgb="FF1F1F1F"/>
        <bgColor rgb="FF003300"/>
      </patternFill>
    </fill>
    <fill>
      <patternFill patternType="solid">
        <fgColor rgb="FFFAF6EE"/>
        <bgColor rgb="FFFFFCE6"/>
      </patternFill>
    </fill>
    <fill>
      <patternFill patternType="solid">
        <fgColor rgb="FFFFFCE6"/>
        <bgColor rgb="FFFAF6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0"/>
      </left>
      <right style="thin">
        <color rgb="FFD9D2C0"/>
      </right>
      <top style="thin">
        <color rgb="FFD9D2C0"/>
      </top>
      <bottom style="thin">
        <color rgb="FFD9D2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0"/>
      <rgbColor rgb="FF808080"/>
      <rgbColor rgb="FF9999FF"/>
      <rgbColor rgb="FF993366"/>
      <rgbColor rgb="FFFFFCE6"/>
      <rgbColor rgb="FFF4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EE"/>
      <rgbColor rgb="FFEFE7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A1F"/>
      <rgbColor rgb="FF595959"/>
      <rgbColor rgb="FF8C8C8C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40"/>
  </cols>
  <sheetData>
    <row r="2" customFormat="false" ht="24.6" hidden="false" customHeight="false" outlineLevel="0" collapsed="false">
      <c r="B2" s="1" t="s">
        <v>0</v>
      </c>
    </row>
    <row r="3" customFormat="false" ht="17.9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  <c r="C10" s="7" t="n">
        <v>300000000</v>
      </c>
    </row>
    <row r="11" customFormat="false" ht="15" hidden="false" customHeight="false" outlineLevel="0" collapsed="false">
      <c r="B11" s="6" t="s">
        <v>7</v>
      </c>
      <c r="C11" s="7" t="n">
        <v>500000000</v>
      </c>
    </row>
    <row r="14" customFormat="false" ht="15" hidden="false" customHeight="false" outlineLevel="0" collapsed="false">
      <c r="B14" s="8" t="s">
        <v>8</v>
      </c>
      <c r="C14" s="8" t="s">
        <v>9</v>
      </c>
      <c r="D14" s="8" t="s">
        <v>10</v>
      </c>
      <c r="E14" s="8" t="s">
        <v>11</v>
      </c>
      <c r="F14" s="8" t="s">
        <v>12</v>
      </c>
    </row>
    <row r="15" customFormat="false" ht="15" hidden="false" customHeight="false" outlineLevel="0" collapsed="false">
      <c r="B15" s="9" t="s">
        <v>13</v>
      </c>
      <c r="C15" s="10" t="n">
        <f aca="false">상세!H12</f>
        <v>19100000</v>
      </c>
      <c r="D15" s="10" t="n">
        <f aca="false">상세!L12</f>
        <v>33500000</v>
      </c>
      <c r="E15" s="11" t="n">
        <f aca="false">C15/C$25</f>
        <v>0.0636666666666667</v>
      </c>
      <c r="F15" s="12" t="s">
        <v>14</v>
      </c>
    </row>
    <row r="16" customFormat="false" ht="15" hidden="false" customHeight="false" outlineLevel="0" collapsed="false">
      <c r="B16" s="9" t="s">
        <v>15</v>
      </c>
      <c r="C16" s="10" t="n">
        <f aca="false">상세!H24</f>
        <v>17700000</v>
      </c>
      <c r="D16" s="10" t="n">
        <f aca="false">상세!L24</f>
        <v>30300000</v>
      </c>
      <c r="E16" s="11" t="n">
        <f aca="false">C16/C$25</f>
        <v>0.059</v>
      </c>
      <c r="F16" s="13" t="s">
        <v>16</v>
      </c>
    </row>
    <row r="17" customFormat="false" ht="15" hidden="false" customHeight="false" outlineLevel="0" collapsed="false">
      <c r="B17" s="9" t="s">
        <v>17</v>
      </c>
      <c r="C17" s="10" t="n">
        <f aca="false">상세!H34</f>
        <v>7900000</v>
      </c>
      <c r="D17" s="10" t="n">
        <f aca="false">상세!L34</f>
        <v>14000000</v>
      </c>
      <c r="E17" s="11" t="n">
        <f aca="false">C17/C$25</f>
        <v>0.0263333333333333</v>
      </c>
      <c r="F17" s="12" t="s">
        <v>18</v>
      </c>
    </row>
    <row r="18" customFormat="false" ht="15" hidden="false" customHeight="false" outlineLevel="0" collapsed="false">
      <c r="B18" s="9" t="s">
        <v>19</v>
      </c>
      <c r="C18" s="10" t="n">
        <f aca="false">상세!H43</f>
        <v>135300000</v>
      </c>
      <c r="D18" s="10" t="n">
        <f aca="false">상세!L43</f>
        <v>225900000</v>
      </c>
      <c r="E18" s="11" t="n">
        <f aca="false">C18/C$25</f>
        <v>0.451</v>
      </c>
      <c r="F18" s="12" t="s">
        <v>20</v>
      </c>
    </row>
    <row r="19" customFormat="false" ht="15" hidden="false" customHeight="false" outlineLevel="0" collapsed="false">
      <c r="B19" s="9" t="s">
        <v>21</v>
      </c>
      <c r="C19" s="10" t="n">
        <f aca="false">상세!H53</f>
        <v>29000000</v>
      </c>
      <c r="D19" s="10" t="n">
        <f aca="false">상세!L53</f>
        <v>46700000</v>
      </c>
      <c r="E19" s="11" t="n">
        <f aca="false">C19/C$25</f>
        <v>0.0966666666666667</v>
      </c>
      <c r="F19" s="13" t="s">
        <v>22</v>
      </c>
    </row>
    <row r="20" customFormat="false" ht="15" hidden="false" customHeight="false" outlineLevel="0" collapsed="false">
      <c r="B20" s="9" t="s">
        <v>23</v>
      </c>
      <c r="C20" s="10" t="n">
        <f aca="false">상세!H62</f>
        <v>16150000</v>
      </c>
      <c r="D20" s="10" t="n">
        <f aca="false">상세!L62</f>
        <v>28800000</v>
      </c>
      <c r="E20" s="11" t="n">
        <f aca="false">C20/C$25</f>
        <v>0.0538333333333333</v>
      </c>
      <c r="F20" s="12" t="s">
        <v>24</v>
      </c>
    </row>
    <row r="21" customFormat="false" ht="15" hidden="false" customHeight="false" outlineLevel="0" collapsed="false">
      <c r="B21" s="9" t="s">
        <v>25</v>
      </c>
      <c r="C21" s="10" t="n">
        <f aca="false">상세!H71</f>
        <v>12000000</v>
      </c>
      <c r="D21" s="10" t="n">
        <f aca="false">상세!L71</f>
        <v>20000000</v>
      </c>
      <c r="E21" s="11" t="n">
        <f aca="false">C21/C$25</f>
        <v>0.04</v>
      </c>
      <c r="F21" s="12" t="s">
        <v>26</v>
      </c>
    </row>
    <row r="22" customFormat="false" ht="15" hidden="false" customHeight="false" outlineLevel="0" collapsed="false">
      <c r="B22" s="9" t="s">
        <v>27</v>
      </c>
      <c r="C22" s="10" t="n">
        <f aca="false">상세!H79</f>
        <v>18150000</v>
      </c>
      <c r="D22" s="10" t="n">
        <f aca="false">상세!L79</f>
        <v>28600000</v>
      </c>
      <c r="E22" s="11" t="n">
        <f aca="false">C22/C$25</f>
        <v>0.0605</v>
      </c>
      <c r="F22" s="13" t="s">
        <v>28</v>
      </c>
    </row>
    <row r="23" customFormat="false" ht="15" hidden="false" customHeight="false" outlineLevel="0" collapsed="false">
      <c r="B23" s="9" t="s">
        <v>29</v>
      </c>
      <c r="C23" s="10" t="n">
        <f aca="false">상세!H88</f>
        <v>21200000</v>
      </c>
      <c r="D23" s="10" t="n">
        <f aca="false">상세!L88</f>
        <v>31700000</v>
      </c>
      <c r="E23" s="11" t="n">
        <f aca="false">C23/C$25</f>
        <v>0.0706666666666667</v>
      </c>
      <c r="F23" s="13" t="s">
        <v>30</v>
      </c>
    </row>
    <row r="24" customFormat="false" ht="15" hidden="false" customHeight="false" outlineLevel="0" collapsed="false">
      <c r="B24" s="9" t="s">
        <v>31</v>
      </c>
      <c r="C24" s="10" t="n">
        <f aca="false">상세!H95</f>
        <v>23500000</v>
      </c>
      <c r="D24" s="10" t="n">
        <f aca="false">상세!L95</f>
        <v>40500000</v>
      </c>
      <c r="E24" s="11" t="n">
        <f aca="false">C24/C$25</f>
        <v>0.0783333333333333</v>
      </c>
      <c r="F24" s="12" t="s">
        <v>32</v>
      </c>
    </row>
    <row r="25" customFormat="false" ht="16.15" hidden="false" customHeight="false" outlineLevel="0" collapsed="false">
      <c r="B25" s="14" t="s">
        <v>33</v>
      </c>
      <c r="C25" s="15" t="n">
        <f aca="false">SUM(C15:C24)</f>
        <v>300000000</v>
      </c>
      <c r="D25" s="15" t="n">
        <f aca="false">SUM(D15:D24)</f>
        <v>500000000</v>
      </c>
      <c r="E25" s="16" t="n">
        <f aca="false">SUM(E15:E24)</f>
        <v>1</v>
      </c>
      <c r="F25" s="14"/>
    </row>
    <row r="27" customFormat="false" ht="15" hidden="false" customHeight="false" outlineLevel="0" collapsed="false">
      <c r="B27" s="4" t="s">
        <v>34</v>
      </c>
    </row>
    <row r="28" customFormat="false" ht="15" hidden="false" customHeight="false" outlineLevel="0" collapsed="false">
      <c r="B28" s="4" t="s">
        <v>35</v>
      </c>
    </row>
    <row r="29" customFormat="false" ht="15" hidden="false" customHeight="false" outlineLevel="0" collapsed="false">
      <c r="B29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17" t="s">
        <v>37</v>
      </c>
      <c r="B1" s="17" t="s">
        <v>8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40</v>
      </c>
      <c r="J1" s="17" t="s">
        <v>41</v>
      </c>
      <c r="K1" s="17" t="s">
        <v>42</v>
      </c>
      <c r="L1" s="17" t="s">
        <v>44</v>
      </c>
      <c r="M1" s="17" t="s">
        <v>12</v>
      </c>
    </row>
    <row r="2" customFormat="false" ht="15" hidden="false" customHeight="false" outlineLevel="0" collapsed="false">
      <c r="E2" s="18" t="s">
        <v>45</v>
      </c>
      <c r="I2" s="18" t="s">
        <v>46</v>
      </c>
    </row>
    <row r="3" customFormat="false" ht="21.75" hidden="false" customHeight="true" outlineLevel="0" collapsed="false">
      <c r="A3" s="19"/>
      <c r="B3" s="20" t="s">
        <v>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21.75" hidden="false" customHeight="true" outlineLevel="0" collapsed="false">
      <c r="A4" s="21" t="n">
        <v>1</v>
      </c>
      <c r="C4" s="22" t="s">
        <v>48</v>
      </c>
      <c r="D4" s="22" t="s">
        <v>49</v>
      </c>
      <c r="E4" s="23" t="n">
        <v>1</v>
      </c>
      <c r="F4" s="24" t="n">
        <v>1200000</v>
      </c>
      <c r="G4" s="23" t="n">
        <v>6</v>
      </c>
      <c r="H4" s="25" t="n">
        <f aca="false">E4*F4*G4</f>
        <v>7200000</v>
      </c>
      <c r="I4" s="23" t="n">
        <v>1</v>
      </c>
      <c r="J4" s="24" t="n">
        <v>2000000</v>
      </c>
      <c r="K4" s="23" t="n">
        <v>6</v>
      </c>
      <c r="L4" s="25" t="n">
        <f aca="false">I4*J4*K4</f>
        <v>12000000</v>
      </c>
      <c r="M4" s="26" t="s">
        <v>50</v>
      </c>
    </row>
    <row r="5" customFormat="false" ht="21.75" hidden="false" customHeight="true" outlineLevel="0" collapsed="false">
      <c r="A5" s="0" t="n">
        <v>2</v>
      </c>
      <c r="C5" s="27" t="s">
        <v>51</v>
      </c>
      <c r="D5" s="27" t="s">
        <v>49</v>
      </c>
      <c r="E5" s="23" t="n">
        <v>1</v>
      </c>
      <c r="F5" s="24" t="n">
        <v>500000</v>
      </c>
      <c r="G5" s="23" t="n">
        <v>6</v>
      </c>
      <c r="H5" s="25" t="n">
        <f aca="false">E5*F5*G5</f>
        <v>3000000</v>
      </c>
      <c r="I5" s="23" t="n">
        <v>1</v>
      </c>
      <c r="J5" s="24" t="n">
        <v>900000</v>
      </c>
      <c r="K5" s="23" t="n">
        <v>6</v>
      </c>
      <c r="L5" s="25" t="n">
        <f aca="false">I5*J5*K5</f>
        <v>5400000</v>
      </c>
      <c r="M5" s="28" t="s">
        <v>52</v>
      </c>
    </row>
    <row r="6" customFormat="false" ht="21.75" hidden="false" customHeight="true" outlineLevel="0" collapsed="false">
      <c r="A6" s="21" t="n">
        <v>3</v>
      </c>
      <c r="C6" s="22" t="s">
        <v>53</v>
      </c>
      <c r="D6" s="22" t="s">
        <v>49</v>
      </c>
      <c r="E6" s="23" t="n">
        <v>1</v>
      </c>
      <c r="F6" s="24" t="n">
        <v>200000</v>
      </c>
      <c r="G6" s="23" t="n">
        <v>6</v>
      </c>
      <c r="H6" s="25" t="n">
        <f aca="false">E6*F6*G6</f>
        <v>1200000</v>
      </c>
      <c r="I6" s="23" t="n">
        <v>1</v>
      </c>
      <c r="J6" s="24" t="n">
        <v>350000</v>
      </c>
      <c r="K6" s="23" t="n">
        <v>6</v>
      </c>
      <c r="L6" s="25" t="n">
        <f aca="false">I6*J6*K6</f>
        <v>2100000</v>
      </c>
      <c r="M6" s="26" t="s">
        <v>54</v>
      </c>
    </row>
    <row r="7" customFormat="false" ht="21.75" hidden="false" customHeight="true" outlineLevel="0" collapsed="false">
      <c r="A7" s="0" t="n">
        <v>4</v>
      </c>
      <c r="C7" s="27" t="s">
        <v>55</v>
      </c>
      <c r="D7" s="27" t="s">
        <v>49</v>
      </c>
      <c r="E7" s="23" t="n">
        <v>1</v>
      </c>
      <c r="F7" s="24" t="n">
        <v>300000</v>
      </c>
      <c r="G7" s="23" t="n">
        <v>6</v>
      </c>
      <c r="H7" s="25" t="n">
        <f aca="false">E7*F7*G7</f>
        <v>1800000</v>
      </c>
      <c r="I7" s="23" t="n">
        <v>1</v>
      </c>
      <c r="J7" s="24" t="n">
        <v>550000</v>
      </c>
      <c r="K7" s="23" t="n">
        <v>6</v>
      </c>
      <c r="L7" s="25" t="n">
        <f aca="false">I7*J7*K7</f>
        <v>3300000</v>
      </c>
      <c r="M7" s="28" t="s">
        <v>56</v>
      </c>
    </row>
    <row r="8" customFormat="false" ht="21.75" hidden="false" customHeight="true" outlineLevel="0" collapsed="false">
      <c r="A8" s="21" t="n">
        <v>5</v>
      </c>
      <c r="C8" s="22" t="s">
        <v>57</v>
      </c>
      <c r="D8" s="22" t="s">
        <v>58</v>
      </c>
      <c r="E8" s="23" t="n">
        <v>1</v>
      </c>
      <c r="F8" s="24" t="n">
        <v>500000</v>
      </c>
      <c r="G8" s="23" t="n">
        <v>1</v>
      </c>
      <c r="H8" s="25" t="n">
        <f aca="false">E8*F8*G8</f>
        <v>500000</v>
      </c>
      <c r="I8" s="23" t="n">
        <v>1</v>
      </c>
      <c r="J8" s="24" t="n">
        <v>800000</v>
      </c>
      <c r="K8" s="23" t="n">
        <v>1</v>
      </c>
      <c r="L8" s="25" t="n">
        <f aca="false">I8*J8*K8</f>
        <v>800000</v>
      </c>
      <c r="M8" s="29" t="s">
        <v>59</v>
      </c>
    </row>
    <row r="9" customFormat="false" ht="21.75" hidden="false" customHeight="true" outlineLevel="0" collapsed="false">
      <c r="A9" s="0" t="n">
        <v>6</v>
      </c>
      <c r="C9" s="0" t="s">
        <v>60</v>
      </c>
      <c r="D9" s="27" t="s">
        <v>49</v>
      </c>
      <c r="E9" s="23" t="n">
        <v>1</v>
      </c>
      <c r="F9" s="24" t="n">
        <v>400000</v>
      </c>
      <c r="G9" s="23" t="n">
        <v>6</v>
      </c>
      <c r="H9" s="25" t="n">
        <f aca="false">E9*F9*G9</f>
        <v>2400000</v>
      </c>
      <c r="I9" s="23" t="n">
        <v>1</v>
      </c>
      <c r="J9" s="24" t="n">
        <v>800000</v>
      </c>
      <c r="K9" s="23" t="n">
        <v>6</v>
      </c>
      <c r="L9" s="25" t="n">
        <f aca="false">I9*J9*K9</f>
        <v>4800000</v>
      </c>
      <c r="M9" s="28" t="s">
        <v>61</v>
      </c>
    </row>
    <row r="10" customFormat="false" ht="21.75" hidden="false" customHeight="true" outlineLevel="0" collapsed="false">
      <c r="A10" s="21" t="n">
        <v>7</v>
      </c>
      <c r="C10" s="22" t="s">
        <v>62</v>
      </c>
      <c r="D10" s="22" t="s">
        <v>49</v>
      </c>
      <c r="E10" s="23" t="n">
        <v>1</v>
      </c>
      <c r="F10" s="24" t="n">
        <v>300000</v>
      </c>
      <c r="G10" s="23" t="n">
        <v>6</v>
      </c>
      <c r="H10" s="25" t="n">
        <f aca="false">E10*F10*G10</f>
        <v>1800000</v>
      </c>
      <c r="I10" s="23" t="n">
        <v>1</v>
      </c>
      <c r="J10" s="24" t="n">
        <v>600000</v>
      </c>
      <c r="K10" s="23" t="n">
        <v>6</v>
      </c>
      <c r="L10" s="25" t="n">
        <f aca="false">I10*J10*K10</f>
        <v>3600000</v>
      </c>
      <c r="M10" s="29" t="s">
        <v>63</v>
      </c>
    </row>
    <row r="11" customFormat="false" ht="21.75" hidden="false" customHeight="true" outlineLevel="0" collapsed="false">
      <c r="A11" s="0" t="n">
        <v>8</v>
      </c>
      <c r="C11" s="27" t="s">
        <v>64</v>
      </c>
      <c r="D11" s="27" t="s">
        <v>49</v>
      </c>
      <c r="E11" s="23" t="n">
        <v>1</v>
      </c>
      <c r="F11" s="24" t="n">
        <v>200000</v>
      </c>
      <c r="G11" s="23" t="n">
        <v>6</v>
      </c>
      <c r="H11" s="25" t="n">
        <f aca="false">E11*F11*G11</f>
        <v>1200000</v>
      </c>
      <c r="I11" s="23" t="n">
        <v>1</v>
      </c>
      <c r="J11" s="24" t="n">
        <v>250000</v>
      </c>
      <c r="K11" s="23" t="n">
        <v>6</v>
      </c>
      <c r="L11" s="25" t="n">
        <f aca="false">I11*J11*K11</f>
        <v>1500000</v>
      </c>
      <c r="M11" s="28" t="s">
        <v>65</v>
      </c>
    </row>
    <row r="12" customFormat="false" ht="21.75" hidden="false" customHeight="true" outlineLevel="0" collapsed="false">
      <c r="A12" s="30"/>
      <c r="B12" s="31" t="s">
        <v>66</v>
      </c>
      <c r="C12" s="30"/>
      <c r="D12" s="30"/>
      <c r="E12" s="30"/>
      <c r="F12" s="30"/>
      <c r="G12" s="30"/>
      <c r="H12" s="32" t="n">
        <f aca="false">SUM(H4:H11)</f>
        <v>19100000</v>
      </c>
      <c r="I12" s="30"/>
      <c r="J12" s="30"/>
      <c r="K12" s="30"/>
      <c r="L12" s="32" t="n">
        <f aca="false">SUM(L4:L11)</f>
        <v>33500000</v>
      </c>
      <c r="M12" s="30"/>
    </row>
    <row r="13" customFormat="false" ht="21.75" hidden="false" customHeight="true" outlineLevel="0" collapsed="false">
      <c r="A13" s="19"/>
      <c r="B13" s="20" t="s">
        <v>67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21.75" hidden="false" customHeight="true" outlineLevel="0" collapsed="false">
      <c r="A14" s="21" t="n">
        <v>9</v>
      </c>
      <c r="C14" s="21" t="s">
        <v>68</v>
      </c>
      <c r="D14" s="22" t="s">
        <v>49</v>
      </c>
      <c r="E14" s="23" t="n">
        <v>1</v>
      </c>
      <c r="F14" s="24" t="n">
        <v>600000</v>
      </c>
      <c r="G14" s="23" t="n">
        <v>6</v>
      </c>
      <c r="H14" s="25" t="n">
        <f aca="false">E14*F14*G14</f>
        <v>3600000</v>
      </c>
      <c r="I14" s="23" t="n">
        <v>1</v>
      </c>
      <c r="J14" s="24" t="n">
        <v>1000000</v>
      </c>
      <c r="K14" s="23" t="n">
        <v>6</v>
      </c>
      <c r="L14" s="25" t="n">
        <f aca="false">I14*J14*K14</f>
        <v>6000000</v>
      </c>
      <c r="M14" s="26" t="s">
        <v>69</v>
      </c>
    </row>
    <row r="15" customFormat="false" ht="21.75" hidden="false" customHeight="true" outlineLevel="0" collapsed="false">
      <c r="A15" s="0" t="n">
        <v>10</v>
      </c>
      <c r="C15" s="0" t="s">
        <v>70</v>
      </c>
      <c r="D15" s="27" t="s">
        <v>49</v>
      </c>
      <c r="E15" s="23" t="n">
        <v>1</v>
      </c>
      <c r="F15" s="24" t="n">
        <v>400000</v>
      </c>
      <c r="G15" s="23" t="n">
        <v>6</v>
      </c>
      <c r="H15" s="25" t="n">
        <f aca="false">E15*F15*G15</f>
        <v>2400000</v>
      </c>
      <c r="I15" s="23" t="n">
        <v>1</v>
      </c>
      <c r="J15" s="24" t="n">
        <v>700000</v>
      </c>
      <c r="K15" s="23" t="n">
        <v>6</v>
      </c>
      <c r="L15" s="25" t="n">
        <f aca="false">I15*J15*K15</f>
        <v>4200000</v>
      </c>
      <c r="M15" s="33" t="s">
        <v>71</v>
      </c>
    </row>
    <row r="16" customFormat="false" ht="21.75" hidden="false" customHeight="true" outlineLevel="0" collapsed="false">
      <c r="A16" s="21" t="n">
        <v>11</v>
      </c>
      <c r="C16" s="22" t="s">
        <v>72</v>
      </c>
      <c r="D16" s="22" t="s">
        <v>49</v>
      </c>
      <c r="E16" s="23" t="n">
        <v>1</v>
      </c>
      <c r="F16" s="24" t="n">
        <v>200000</v>
      </c>
      <c r="G16" s="23" t="n">
        <v>6</v>
      </c>
      <c r="H16" s="25" t="n">
        <f aca="false">E16*F16*G16</f>
        <v>1200000</v>
      </c>
      <c r="I16" s="23" t="n">
        <v>1</v>
      </c>
      <c r="J16" s="24" t="n">
        <v>400000</v>
      </c>
      <c r="K16" s="23" t="n">
        <v>6</v>
      </c>
      <c r="L16" s="25" t="n">
        <f aca="false">I16*J16*K16</f>
        <v>2400000</v>
      </c>
      <c r="M16" s="26" t="s">
        <v>73</v>
      </c>
    </row>
    <row r="17" customFormat="false" ht="21.75" hidden="false" customHeight="true" outlineLevel="0" collapsed="false">
      <c r="A17" s="0" t="n">
        <v>12</v>
      </c>
      <c r="C17" s="27" t="s">
        <v>74</v>
      </c>
      <c r="D17" s="27" t="s">
        <v>49</v>
      </c>
      <c r="E17" s="23" t="n">
        <v>1</v>
      </c>
      <c r="F17" s="24" t="n">
        <v>200000</v>
      </c>
      <c r="G17" s="23" t="n">
        <v>6</v>
      </c>
      <c r="H17" s="25" t="n">
        <f aca="false">E17*F17*G17</f>
        <v>1200000</v>
      </c>
      <c r="I17" s="23" t="n">
        <v>1</v>
      </c>
      <c r="J17" s="24" t="n">
        <v>400000</v>
      </c>
      <c r="K17" s="23" t="n">
        <v>6</v>
      </c>
      <c r="L17" s="25" t="n">
        <f aca="false">I17*J17*K17</f>
        <v>2400000</v>
      </c>
      <c r="M17" s="33" t="s">
        <v>75</v>
      </c>
    </row>
    <row r="18" customFormat="false" ht="21.75" hidden="false" customHeight="true" outlineLevel="0" collapsed="false">
      <c r="A18" s="21" t="n">
        <v>13</v>
      </c>
      <c r="C18" s="22" t="s">
        <v>76</v>
      </c>
      <c r="D18" s="22" t="s">
        <v>49</v>
      </c>
      <c r="E18" s="23" t="n">
        <v>1</v>
      </c>
      <c r="F18" s="24" t="n">
        <v>350000</v>
      </c>
      <c r="G18" s="23" t="n">
        <v>6</v>
      </c>
      <c r="H18" s="25" t="n">
        <f aca="false">E18*F18*G18</f>
        <v>2100000</v>
      </c>
      <c r="I18" s="23" t="n">
        <v>1</v>
      </c>
      <c r="J18" s="24" t="n">
        <v>500000</v>
      </c>
      <c r="K18" s="23" t="n">
        <v>6</v>
      </c>
      <c r="L18" s="25" t="n">
        <f aca="false">I18*J18*K18</f>
        <v>3000000</v>
      </c>
      <c r="M18" s="29" t="s">
        <v>77</v>
      </c>
    </row>
    <row r="19" customFormat="false" ht="21.75" hidden="false" customHeight="true" outlineLevel="0" collapsed="false">
      <c r="A19" s="0" t="n">
        <v>14</v>
      </c>
      <c r="C19" s="27" t="s">
        <v>78</v>
      </c>
      <c r="D19" s="27" t="s">
        <v>49</v>
      </c>
      <c r="E19" s="23" t="n">
        <v>1</v>
      </c>
      <c r="F19" s="24" t="n">
        <v>200000</v>
      </c>
      <c r="G19" s="23" t="n">
        <v>6</v>
      </c>
      <c r="H19" s="25" t="n">
        <f aca="false">E19*F19*G19</f>
        <v>1200000</v>
      </c>
      <c r="I19" s="23" t="n">
        <v>1</v>
      </c>
      <c r="J19" s="24" t="n">
        <v>300000</v>
      </c>
      <c r="K19" s="23" t="n">
        <v>6</v>
      </c>
      <c r="L19" s="25" t="n">
        <f aca="false">I19*J19*K19</f>
        <v>1800000</v>
      </c>
      <c r="M19" s="33" t="s">
        <v>79</v>
      </c>
    </row>
    <row r="20" customFormat="false" ht="21.75" hidden="false" customHeight="true" outlineLevel="0" collapsed="false">
      <c r="A20" s="21" t="n">
        <v>15</v>
      </c>
      <c r="C20" s="21" t="s">
        <v>80</v>
      </c>
      <c r="D20" s="22" t="s">
        <v>49</v>
      </c>
      <c r="E20" s="23" t="n">
        <v>1</v>
      </c>
      <c r="F20" s="24" t="n">
        <v>550000</v>
      </c>
      <c r="G20" s="23" t="n">
        <v>6</v>
      </c>
      <c r="H20" s="25" t="n">
        <f aca="false">E20*F20*G20</f>
        <v>3300000</v>
      </c>
      <c r="I20" s="23" t="n">
        <v>1</v>
      </c>
      <c r="J20" s="24" t="n">
        <v>1000000</v>
      </c>
      <c r="K20" s="23" t="n">
        <v>6</v>
      </c>
      <c r="L20" s="25" t="n">
        <f aca="false">I20*J20*K20</f>
        <v>6000000</v>
      </c>
      <c r="M20" s="29" t="s">
        <v>81</v>
      </c>
    </row>
    <row r="21" customFormat="false" ht="21.75" hidden="false" customHeight="true" outlineLevel="0" collapsed="false">
      <c r="A21" s="0" t="n">
        <v>16</v>
      </c>
      <c r="C21" s="27" t="s">
        <v>82</v>
      </c>
      <c r="D21" s="27" t="s">
        <v>49</v>
      </c>
      <c r="E21" s="23" t="n">
        <v>1</v>
      </c>
      <c r="F21" s="24" t="n">
        <v>150000</v>
      </c>
      <c r="G21" s="23" t="n">
        <v>6</v>
      </c>
      <c r="H21" s="25" t="n">
        <f aca="false">E21*F21*G21</f>
        <v>900000</v>
      </c>
      <c r="I21" s="23" t="n">
        <v>1</v>
      </c>
      <c r="J21" s="24" t="n">
        <v>250000</v>
      </c>
      <c r="K21" s="23" t="n">
        <v>6</v>
      </c>
      <c r="L21" s="25" t="n">
        <f aca="false">I21*J21*K21</f>
        <v>1500000</v>
      </c>
      <c r="M21" s="33" t="s">
        <v>83</v>
      </c>
    </row>
    <row r="22" customFormat="false" ht="21.75" hidden="false" customHeight="true" outlineLevel="0" collapsed="false">
      <c r="A22" s="21" t="n">
        <v>17</v>
      </c>
      <c r="C22" s="21" t="s">
        <v>84</v>
      </c>
      <c r="D22" s="22" t="s">
        <v>49</v>
      </c>
      <c r="E22" s="23" t="n">
        <v>1</v>
      </c>
      <c r="F22" s="24" t="n">
        <v>150000</v>
      </c>
      <c r="G22" s="23" t="n">
        <v>6</v>
      </c>
      <c r="H22" s="25" t="n">
        <f aca="false">E22*F22*G22</f>
        <v>900000</v>
      </c>
      <c r="I22" s="23" t="n">
        <v>1</v>
      </c>
      <c r="J22" s="24" t="n">
        <v>250000</v>
      </c>
      <c r="K22" s="23" t="n">
        <v>6</v>
      </c>
      <c r="L22" s="25" t="n">
        <f aca="false">I22*J22*K22</f>
        <v>1500000</v>
      </c>
      <c r="M22" s="29" t="s">
        <v>85</v>
      </c>
    </row>
    <row r="23" customFormat="false" ht="21.75" hidden="false" customHeight="true" outlineLevel="0" collapsed="false">
      <c r="A23" s="0" t="n">
        <v>18</v>
      </c>
      <c r="C23" s="27" t="s">
        <v>86</v>
      </c>
      <c r="D23" s="27" t="s">
        <v>49</v>
      </c>
      <c r="E23" s="23" t="n">
        <v>1</v>
      </c>
      <c r="F23" s="24" t="n">
        <v>150000</v>
      </c>
      <c r="G23" s="23" t="n">
        <v>6</v>
      </c>
      <c r="H23" s="25" t="n">
        <f aca="false">E23*F23*G23</f>
        <v>900000</v>
      </c>
      <c r="I23" s="23" t="n">
        <v>1</v>
      </c>
      <c r="J23" s="24" t="n">
        <v>250000</v>
      </c>
      <c r="K23" s="23" t="n">
        <v>6</v>
      </c>
      <c r="L23" s="25" t="n">
        <f aca="false">I23*J23*K23</f>
        <v>1500000</v>
      </c>
      <c r="M23" s="33" t="s">
        <v>87</v>
      </c>
    </row>
    <row r="24" customFormat="false" ht="21.75" hidden="false" customHeight="true" outlineLevel="0" collapsed="false">
      <c r="A24" s="30"/>
      <c r="B24" s="31" t="s">
        <v>88</v>
      </c>
      <c r="C24" s="30"/>
      <c r="D24" s="30"/>
      <c r="E24" s="30"/>
      <c r="F24" s="30"/>
      <c r="G24" s="30"/>
      <c r="H24" s="32" t="n">
        <f aca="false">SUM(H14:H23)</f>
        <v>17700000</v>
      </c>
      <c r="I24" s="30"/>
      <c r="J24" s="30"/>
      <c r="K24" s="30"/>
      <c r="L24" s="32" t="n">
        <f aca="false">SUM(L14:L23)</f>
        <v>30300000</v>
      </c>
      <c r="M24" s="30"/>
    </row>
    <row r="25" customFormat="false" ht="21.75" hidden="false" customHeight="true" outlineLevel="0" collapsed="false">
      <c r="A25" s="19"/>
      <c r="B25" s="20" t="s">
        <v>89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customFormat="false" ht="21.75" hidden="false" customHeight="true" outlineLevel="0" collapsed="false">
      <c r="A26" s="21" t="n">
        <v>19</v>
      </c>
      <c r="C26" s="22" t="s">
        <v>90</v>
      </c>
      <c r="D26" s="22" t="s">
        <v>49</v>
      </c>
      <c r="E26" s="23" t="n">
        <v>8</v>
      </c>
      <c r="F26" s="24" t="n">
        <v>25000</v>
      </c>
      <c r="G26" s="23" t="n">
        <v>6</v>
      </c>
      <c r="H26" s="25" t="n">
        <f aca="false">E26*F26*G26</f>
        <v>1200000</v>
      </c>
      <c r="I26" s="23" t="n">
        <v>10</v>
      </c>
      <c r="J26" s="24" t="n">
        <v>30000</v>
      </c>
      <c r="K26" s="23" t="n">
        <v>6</v>
      </c>
      <c r="L26" s="25" t="n">
        <f aca="false">I26*J26*K26</f>
        <v>1800000</v>
      </c>
      <c r="M26" s="29" t="s">
        <v>91</v>
      </c>
    </row>
    <row r="27" customFormat="false" ht="21.75" hidden="false" customHeight="true" outlineLevel="0" collapsed="false">
      <c r="A27" s="0" t="n">
        <v>20</v>
      </c>
      <c r="C27" s="27" t="s">
        <v>92</v>
      </c>
      <c r="D27" s="27" t="s">
        <v>49</v>
      </c>
      <c r="E27" s="23" t="n">
        <v>4</v>
      </c>
      <c r="F27" s="24" t="n">
        <v>25000</v>
      </c>
      <c r="G27" s="23" t="n">
        <v>6</v>
      </c>
      <c r="H27" s="25" t="n">
        <f aca="false">E27*F27*G27</f>
        <v>600000</v>
      </c>
      <c r="I27" s="23" t="n">
        <v>6</v>
      </c>
      <c r="J27" s="24" t="n">
        <v>30000</v>
      </c>
      <c r="K27" s="23" t="n">
        <v>6</v>
      </c>
      <c r="L27" s="25" t="n">
        <f aca="false">I27*J27*K27</f>
        <v>1080000</v>
      </c>
      <c r="M27" s="33" t="s">
        <v>93</v>
      </c>
    </row>
    <row r="28" customFormat="false" ht="21.75" hidden="false" customHeight="true" outlineLevel="0" collapsed="false">
      <c r="A28" s="21" t="n">
        <v>21</v>
      </c>
      <c r="C28" s="22" t="s">
        <v>94</v>
      </c>
      <c r="D28" s="22" t="s">
        <v>49</v>
      </c>
      <c r="E28" s="23" t="n">
        <v>8</v>
      </c>
      <c r="F28" s="24" t="n">
        <v>10000</v>
      </c>
      <c r="G28" s="23" t="n">
        <v>6</v>
      </c>
      <c r="H28" s="25" t="n">
        <f aca="false">E28*F28*G28</f>
        <v>480000</v>
      </c>
      <c r="I28" s="23" t="n">
        <v>10</v>
      </c>
      <c r="J28" s="24" t="n">
        <v>12000</v>
      </c>
      <c r="K28" s="23" t="n">
        <v>6</v>
      </c>
      <c r="L28" s="25" t="n">
        <f aca="false">I28*J28*K28</f>
        <v>720000</v>
      </c>
      <c r="M28" s="29" t="s">
        <v>95</v>
      </c>
    </row>
    <row r="29" customFormat="false" ht="21.75" hidden="false" customHeight="true" outlineLevel="0" collapsed="false">
      <c r="A29" s="0" t="n">
        <v>22</v>
      </c>
      <c r="C29" s="27" t="s">
        <v>96</v>
      </c>
      <c r="D29" s="27" t="s">
        <v>49</v>
      </c>
      <c r="E29" s="23" t="n">
        <v>8</v>
      </c>
      <c r="F29" s="24" t="n">
        <v>15000</v>
      </c>
      <c r="G29" s="23" t="n">
        <v>6</v>
      </c>
      <c r="H29" s="25" t="n">
        <f aca="false">E29*F29*G29</f>
        <v>720000</v>
      </c>
      <c r="I29" s="23" t="n">
        <v>10</v>
      </c>
      <c r="J29" s="24" t="n">
        <v>20000</v>
      </c>
      <c r="K29" s="23" t="n">
        <v>6</v>
      </c>
      <c r="L29" s="25" t="n">
        <f aca="false">I29*J29*K29</f>
        <v>1200000</v>
      </c>
      <c r="M29" s="33" t="s">
        <v>97</v>
      </c>
    </row>
    <row r="30" customFormat="false" ht="21.75" hidden="false" customHeight="true" outlineLevel="0" collapsed="false">
      <c r="A30" s="21" t="n">
        <v>23</v>
      </c>
      <c r="C30" s="22" t="s">
        <v>98</v>
      </c>
      <c r="D30" s="22" t="s">
        <v>49</v>
      </c>
      <c r="E30" s="23" t="n">
        <v>1</v>
      </c>
      <c r="F30" s="24" t="n">
        <v>400000</v>
      </c>
      <c r="G30" s="23" t="n">
        <v>6</v>
      </c>
      <c r="H30" s="25" t="n">
        <f aca="false">E30*F30*G30</f>
        <v>2400000</v>
      </c>
      <c r="I30" s="23" t="n">
        <v>1</v>
      </c>
      <c r="J30" s="24" t="n">
        <v>700000</v>
      </c>
      <c r="K30" s="23" t="n">
        <v>6</v>
      </c>
      <c r="L30" s="25" t="n">
        <f aca="false">I30*J30*K30</f>
        <v>4200000</v>
      </c>
      <c r="M30" s="29" t="s">
        <v>99</v>
      </c>
    </row>
    <row r="31" customFormat="false" ht="21.75" hidden="false" customHeight="true" outlineLevel="0" collapsed="false">
      <c r="A31" s="0" t="n">
        <v>24</v>
      </c>
      <c r="C31" s="0" t="s">
        <v>100</v>
      </c>
      <c r="D31" s="27" t="s">
        <v>49</v>
      </c>
      <c r="E31" s="23" t="n">
        <v>1</v>
      </c>
      <c r="F31" s="24" t="n">
        <v>200000</v>
      </c>
      <c r="G31" s="23" t="n">
        <v>6</v>
      </c>
      <c r="H31" s="25" t="n">
        <f aca="false">E31*F31*G31</f>
        <v>1200000</v>
      </c>
      <c r="I31" s="23" t="n">
        <v>1</v>
      </c>
      <c r="J31" s="24" t="n">
        <v>400000</v>
      </c>
      <c r="K31" s="23" t="n">
        <v>6</v>
      </c>
      <c r="L31" s="25" t="n">
        <f aca="false">I31*J31*K31</f>
        <v>2400000</v>
      </c>
      <c r="M31" s="28" t="s">
        <v>101</v>
      </c>
    </row>
    <row r="32" customFormat="false" ht="21.75" hidden="false" customHeight="true" outlineLevel="0" collapsed="false">
      <c r="A32" s="21" t="n">
        <v>25</v>
      </c>
      <c r="C32" s="22" t="s">
        <v>102</v>
      </c>
      <c r="D32" s="22" t="s">
        <v>58</v>
      </c>
      <c r="E32" s="23" t="n">
        <v>1</v>
      </c>
      <c r="F32" s="24" t="n">
        <v>400000</v>
      </c>
      <c r="G32" s="23" t="n">
        <v>1</v>
      </c>
      <c r="H32" s="25" t="n">
        <f aca="false">E32*F32*G32</f>
        <v>400000</v>
      </c>
      <c r="I32" s="23" t="n">
        <v>1</v>
      </c>
      <c r="J32" s="24" t="n">
        <v>800000</v>
      </c>
      <c r="K32" s="23" t="n">
        <v>1</v>
      </c>
      <c r="L32" s="25" t="n">
        <f aca="false">I32*J32*K32</f>
        <v>800000</v>
      </c>
      <c r="M32" s="29" t="s">
        <v>103</v>
      </c>
    </row>
    <row r="33" customFormat="false" ht="21.75" hidden="false" customHeight="true" outlineLevel="0" collapsed="false">
      <c r="A33" s="0" t="n">
        <v>26</v>
      </c>
      <c r="C33" s="27" t="s">
        <v>104</v>
      </c>
      <c r="D33" s="27" t="s">
        <v>49</v>
      </c>
      <c r="E33" s="23" t="n">
        <v>1</v>
      </c>
      <c r="F33" s="24" t="n">
        <v>150000</v>
      </c>
      <c r="G33" s="23" t="n">
        <v>6</v>
      </c>
      <c r="H33" s="25" t="n">
        <f aca="false">E33*F33*G33</f>
        <v>900000</v>
      </c>
      <c r="I33" s="23" t="n">
        <v>1</v>
      </c>
      <c r="J33" s="24" t="n">
        <v>300000</v>
      </c>
      <c r="K33" s="23" t="n">
        <v>6</v>
      </c>
      <c r="L33" s="25" t="n">
        <f aca="false">I33*J33*K33</f>
        <v>1800000</v>
      </c>
      <c r="M33" s="28" t="s">
        <v>105</v>
      </c>
    </row>
    <row r="34" customFormat="false" ht="21.75" hidden="false" customHeight="true" outlineLevel="0" collapsed="false">
      <c r="A34" s="30"/>
      <c r="B34" s="31" t="s">
        <v>106</v>
      </c>
      <c r="C34" s="30"/>
      <c r="D34" s="30"/>
      <c r="E34" s="30"/>
      <c r="F34" s="30"/>
      <c r="G34" s="30"/>
      <c r="H34" s="32" t="n">
        <f aca="false">SUM(H26:H33)</f>
        <v>7900000</v>
      </c>
      <c r="I34" s="30"/>
      <c r="J34" s="30"/>
      <c r="K34" s="30"/>
      <c r="L34" s="32" t="n">
        <f aca="false">SUM(L26:L33)</f>
        <v>14000000</v>
      </c>
      <c r="M34" s="30"/>
    </row>
    <row r="35" customFormat="false" ht="21.75" hidden="false" customHeight="true" outlineLevel="0" collapsed="false">
      <c r="A35" s="19"/>
      <c r="B35" s="20" t="s">
        <v>107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21.75" hidden="false" customHeight="true" outlineLevel="0" collapsed="false">
      <c r="A36" s="21" t="n">
        <v>27</v>
      </c>
      <c r="C36" s="22" t="s">
        <v>108</v>
      </c>
      <c r="D36" s="21" t="s">
        <v>109</v>
      </c>
      <c r="E36" s="23" t="n">
        <v>0.8</v>
      </c>
      <c r="F36" s="24" t="n">
        <v>6500000</v>
      </c>
      <c r="G36" s="23" t="n">
        <v>6</v>
      </c>
      <c r="H36" s="25" t="n">
        <f aca="false">E36*F36*G36</f>
        <v>31200000</v>
      </c>
      <c r="I36" s="23" t="n">
        <v>1</v>
      </c>
      <c r="J36" s="24" t="n">
        <v>9000000</v>
      </c>
      <c r="K36" s="23" t="n">
        <v>6</v>
      </c>
      <c r="L36" s="25" t="n">
        <f aca="false">I36*J36*K36</f>
        <v>54000000</v>
      </c>
      <c r="M36" s="29" t="s">
        <v>110</v>
      </c>
    </row>
    <row r="37" customFormat="false" ht="21.75" hidden="false" customHeight="true" outlineLevel="0" collapsed="false">
      <c r="A37" s="0" t="n">
        <v>28</v>
      </c>
      <c r="C37" s="27" t="s">
        <v>111</v>
      </c>
      <c r="D37" s="0" t="s">
        <v>109</v>
      </c>
      <c r="E37" s="23" t="n">
        <v>0.8</v>
      </c>
      <c r="F37" s="24" t="n">
        <v>7000000</v>
      </c>
      <c r="G37" s="23" t="n">
        <v>6</v>
      </c>
      <c r="H37" s="25" t="n">
        <f aca="false">E37*F37*G37</f>
        <v>33600000</v>
      </c>
      <c r="I37" s="23" t="n">
        <v>1</v>
      </c>
      <c r="J37" s="24" t="n">
        <v>9500000</v>
      </c>
      <c r="K37" s="23" t="n">
        <v>6</v>
      </c>
      <c r="L37" s="25" t="n">
        <f aca="false">I37*J37*K37</f>
        <v>57000000</v>
      </c>
      <c r="M37" s="28" t="s">
        <v>112</v>
      </c>
    </row>
    <row r="38" customFormat="false" ht="21.75" hidden="false" customHeight="true" outlineLevel="0" collapsed="false">
      <c r="A38" s="21" t="n">
        <v>29</v>
      </c>
      <c r="C38" s="22" t="s">
        <v>113</v>
      </c>
      <c r="D38" s="21" t="s">
        <v>109</v>
      </c>
      <c r="E38" s="23" t="n">
        <v>0.5</v>
      </c>
      <c r="F38" s="24" t="n">
        <v>5500000</v>
      </c>
      <c r="G38" s="23" t="n">
        <v>6</v>
      </c>
      <c r="H38" s="25" t="n">
        <f aca="false">E38*F38*G38</f>
        <v>16500000</v>
      </c>
      <c r="I38" s="23" t="n">
        <v>1</v>
      </c>
      <c r="J38" s="24" t="n">
        <v>6500000</v>
      </c>
      <c r="K38" s="23" t="n">
        <v>6</v>
      </c>
      <c r="L38" s="25" t="n">
        <f aca="false">I38*J38*K38</f>
        <v>39000000</v>
      </c>
      <c r="M38" s="29" t="s">
        <v>114</v>
      </c>
    </row>
    <row r="39" customFormat="false" ht="21.75" hidden="false" customHeight="true" outlineLevel="0" collapsed="false">
      <c r="A39" s="0" t="n">
        <v>30</v>
      </c>
      <c r="C39" s="0" t="s">
        <v>115</v>
      </c>
      <c r="D39" s="0" t="s">
        <v>109</v>
      </c>
      <c r="E39" s="23" t="n">
        <v>0.3</v>
      </c>
      <c r="F39" s="24" t="n">
        <v>10000000</v>
      </c>
      <c r="G39" s="23" t="n">
        <v>6</v>
      </c>
      <c r="H39" s="25" t="n">
        <f aca="false">E39*F39*G39</f>
        <v>18000000</v>
      </c>
      <c r="I39" s="23" t="n">
        <v>0.5</v>
      </c>
      <c r="J39" s="24" t="n">
        <v>10000000</v>
      </c>
      <c r="K39" s="23" t="n">
        <v>6</v>
      </c>
      <c r="L39" s="25" t="n">
        <f aca="false">I39*J39*K39</f>
        <v>30000000</v>
      </c>
      <c r="M39" s="33" t="s">
        <v>116</v>
      </c>
    </row>
    <row r="40" customFormat="false" ht="21.75" hidden="false" customHeight="true" outlineLevel="0" collapsed="false">
      <c r="A40" s="21" t="n">
        <v>31</v>
      </c>
      <c r="C40" s="21" t="s">
        <v>117</v>
      </c>
      <c r="D40" s="21" t="s">
        <v>109</v>
      </c>
      <c r="E40" s="23" t="n">
        <v>0.2</v>
      </c>
      <c r="F40" s="24" t="n">
        <v>8000000</v>
      </c>
      <c r="G40" s="23" t="n">
        <v>6</v>
      </c>
      <c r="H40" s="25" t="n">
        <f aca="false">E40*F40*G40</f>
        <v>9600000</v>
      </c>
      <c r="I40" s="23" t="n">
        <v>0.2</v>
      </c>
      <c r="J40" s="24" t="n">
        <v>9000000</v>
      </c>
      <c r="K40" s="23" t="n">
        <v>6</v>
      </c>
      <c r="L40" s="25" t="n">
        <f aca="false">I40*J40*K40</f>
        <v>10800000</v>
      </c>
      <c r="M40" s="26" t="s">
        <v>118</v>
      </c>
    </row>
    <row r="41" customFormat="false" ht="21.75" hidden="false" customHeight="true" outlineLevel="0" collapsed="false">
      <c r="A41" s="0" t="n">
        <v>32</v>
      </c>
      <c r="C41" s="0" t="s">
        <v>119</v>
      </c>
      <c r="D41" s="0" t="s">
        <v>109</v>
      </c>
      <c r="E41" s="23" t="n">
        <v>0.3</v>
      </c>
      <c r="F41" s="24" t="n">
        <v>5500000</v>
      </c>
      <c r="G41" s="23" t="n">
        <v>6</v>
      </c>
      <c r="H41" s="25" t="n">
        <f aca="false">E41*F41*G41</f>
        <v>9900000</v>
      </c>
      <c r="I41" s="23" t="n">
        <v>0.4</v>
      </c>
      <c r="J41" s="24" t="n">
        <v>6500000</v>
      </c>
      <c r="K41" s="23" t="n">
        <v>6</v>
      </c>
      <c r="L41" s="25" t="n">
        <f aca="false">I41*J41*K41</f>
        <v>15600000</v>
      </c>
      <c r="M41" s="33" t="s">
        <v>120</v>
      </c>
    </row>
    <row r="42" customFormat="false" ht="21.75" hidden="false" customHeight="true" outlineLevel="0" collapsed="false">
      <c r="A42" s="21" t="n">
        <v>33</v>
      </c>
      <c r="C42" s="22" t="s">
        <v>121</v>
      </c>
      <c r="D42" s="21" t="s">
        <v>109</v>
      </c>
      <c r="E42" s="23" t="n">
        <v>0.5</v>
      </c>
      <c r="F42" s="24" t="n">
        <v>5500000</v>
      </c>
      <c r="G42" s="23" t="n">
        <v>6</v>
      </c>
      <c r="H42" s="25" t="n">
        <f aca="false">E42*F42*G42</f>
        <v>16500000</v>
      </c>
      <c r="I42" s="23" t="n">
        <v>0.5</v>
      </c>
      <c r="J42" s="24" t="n">
        <v>6500000</v>
      </c>
      <c r="K42" s="23" t="n">
        <v>6</v>
      </c>
      <c r="L42" s="25" t="n">
        <f aca="false">I42*J42*K42</f>
        <v>19500000</v>
      </c>
      <c r="M42" s="29" t="s">
        <v>122</v>
      </c>
    </row>
    <row r="43" customFormat="false" ht="21.75" hidden="false" customHeight="true" outlineLevel="0" collapsed="false">
      <c r="A43" s="30"/>
      <c r="B43" s="31" t="s">
        <v>123</v>
      </c>
      <c r="C43" s="30"/>
      <c r="D43" s="30"/>
      <c r="E43" s="30"/>
      <c r="F43" s="30"/>
      <c r="G43" s="30"/>
      <c r="H43" s="32" t="n">
        <f aca="false">SUM(H36:H42)</f>
        <v>135300000</v>
      </c>
      <c r="I43" s="30"/>
      <c r="J43" s="30"/>
      <c r="K43" s="30"/>
      <c r="L43" s="32" t="n">
        <f aca="false">SUM(L36:L42)</f>
        <v>225900000</v>
      </c>
      <c r="M43" s="30"/>
    </row>
    <row r="44" customFormat="false" ht="21.75" hidden="false" customHeight="true" outlineLevel="0" collapsed="false">
      <c r="A44" s="19"/>
      <c r="B44" s="20" t="s">
        <v>124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customFormat="false" ht="21.75" hidden="false" customHeight="true" outlineLevel="0" collapsed="false">
      <c r="A45" s="0" t="n">
        <v>34</v>
      </c>
      <c r="C45" s="27" t="s">
        <v>125</v>
      </c>
      <c r="D45" s="27" t="s">
        <v>58</v>
      </c>
      <c r="E45" s="23" t="n">
        <v>1</v>
      </c>
      <c r="F45" s="24" t="n">
        <v>6000000</v>
      </c>
      <c r="G45" s="23" t="n">
        <v>1</v>
      </c>
      <c r="H45" s="25" t="n">
        <f aca="false">E45*F45*G45</f>
        <v>6000000</v>
      </c>
      <c r="I45" s="23" t="n">
        <v>1</v>
      </c>
      <c r="J45" s="24" t="n">
        <v>10000000</v>
      </c>
      <c r="K45" s="23" t="n">
        <v>1</v>
      </c>
      <c r="L45" s="25" t="n">
        <f aca="false">I45*J45*K45</f>
        <v>10000000</v>
      </c>
      <c r="M45" s="33" t="s">
        <v>126</v>
      </c>
    </row>
    <row r="46" customFormat="false" ht="21.75" hidden="false" customHeight="true" outlineLevel="0" collapsed="false">
      <c r="A46" s="21" t="n">
        <v>35</v>
      </c>
      <c r="C46" s="22" t="s">
        <v>127</v>
      </c>
      <c r="D46" s="22" t="s">
        <v>58</v>
      </c>
      <c r="E46" s="23" t="n">
        <v>1</v>
      </c>
      <c r="F46" s="24" t="n">
        <v>4000000</v>
      </c>
      <c r="G46" s="23" t="n">
        <v>1</v>
      </c>
      <c r="H46" s="25" t="n">
        <f aca="false">E46*F46*G46</f>
        <v>4000000</v>
      </c>
      <c r="I46" s="23" t="n">
        <v>1</v>
      </c>
      <c r="J46" s="24" t="n">
        <v>6000000</v>
      </c>
      <c r="K46" s="23" t="n">
        <v>1</v>
      </c>
      <c r="L46" s="25" t="n">
        <f aca="false">I46*J46*K46</f>
        <v>6000000</v>
      </c>
      <c r="M46" s="29" t="s">
        <v>128</v>
      </c>
    </row>
    <row r="47" customFormat="false" ht="21.75" hidden="false" customHeight="true" outlineLevel="0" collapsed="false">
      <c r="A47" s="0" t="n">
        <v>36</v>
      </c>
      <c r="C47" s="0" t="s">
        <v>129</v>
      </c>
      <c r="D47" s="27" t="s">
        <v>130</v>
      </c>
      <c r="E47" s="23" t="n">
        <v>6</v>
      </c>
      <c r="F47" s="24" t="n">
        <v>400000</v>
      </c>
      <c r="G47" s="23" t="n">
        <v>1</v>
      </c>
      <c r="H47" s="25" t="n">
        <f aca="false">E47*F47*G47</f>
        <v>2400000</v>
      </c>
      <c r="I47" s="23" t="n">
        <v>12</v>
      </c>
      <c r="J47" s="24" t="n">
        <v>400000</v>
      </c>
      <c r="K47" s="23" t="n">
        <v>1</v>
      </c>
      <c r="L47" s="25" t="n">
        <f aca="false">I47*J47*K47</f>
        <v>4800000</v>
      </c>
      <c r="M47" s="33" t="s">
        <v>131</v>
      </c>
    </row>
    <row r="48" customFormat="false" ht="21.75" hidden="false" customHeight="true" outlineLevel="0" collapsed="false">
      <c r="A48" s="21" t="n">
        <v>37</v>
      </c>
      <c r="C48" s="22" t="s">
        <v>132</v>
      </c>
      <c r="D48" s="22" t="s">
        <v>130</v>
      </c>
      <c r="E48" s="23" t="n">
        <v>6</v>
      </c>
      <c r="F48" s="24" t="n">
        <v>500000</v>
      </c>
      <c r="G48" s="23" t="n">
        <v>1</v>
      </c>
      <c r="H48" s="25" t="n">
        <f aca="false">E48*F48*G48</f>
        <v>3000000</v>
      </c>
      <c r="I48" s="23" t="n">
        <v>10</v>
      </c>
      <c r="J48" s="24" t="n">
        <v>500000</v>
      </c>
      <c r="K48" s="23" t="n">
        <v>1</v>
      </c>
      <c r="L48" s="25" t="n">
        <f aca="false">I48*J48*K48</f>
        <v>5000000</v>
      </c>
      <c r="M48" s="29" t="s">
        <v>133</v>
      </c>
    </row>
    <row r="49" customFormat="false" ht="21.75" hidden="false" customHeight="true" outlineLevel="0" collapsed="false">
      <c r="A49" s="0" t="n">
        <v>38</v>
      </c>
      <c r="C49" s="27" t="s">
        <v>134</v>
      </c>
      <c r="D49" s="27" t="s">
        <v>135</v>
      </c>
      <c r="E49" s="23" t="n">
        <v>2</v>
      </c>
      <c r="F49" s="24" t="n">
        <v>2000000</v>
      </c>
      <c r="G49" s="23" t="n">
        <v>1</v>
      </c>
      <c r="H49" s="25" t="n">
        <f aca="false">E49*F49*G49</f>
        <v>4000000</v>
      </c>
      <c r="I49" s="23" t="n">
        <v>3</v>
      </c>
      <c r="J49" s="24" t="n">
        <v>2000000</v>
      </c>
      <c r="K49" s="23" t="n">
        <v>1</v>
      </c>
      <c r="L49" s="25" t="n">
        <f aca="false">I49*J49*K49</f>
        <v>6000000</v>
      </c>
      <c r="M49" s="33" t="s">
        <v>136</v>
      </c>
    </row>
    <row r="50" customFormat="false" ht="21.75" hidden="false" customHeight="true" outlineLevel="0" collapsed="false">
      <c r="A50" s="21" t="n">
        <v>39</v>
      </c>
      <c r="C50" s="22" t="s">
        <v>137</v>
      </c>
      <c r="D50" s="22" t="s">
        <v>135</v>
      </c>
      <c r="E50" s="23" t="n">
        <v>6</v>
      </c>
      <c r="F50" s="24" t="n">
        <v>800000</v>
      </c>
      <c r="G50" s="23" t="n">
        <v>1</v>
      </c>
      <c r="H50" s="25" t="n">
        <f aca="false">E50*F50*G50</f>
        <v>4800000</v>
      </c>
      <c r="I50" s="23" t="n">
        <v>9</v>
      </c>
      <c r="J50" s="24" t="n">
        <v>800000</v>
      </c>
      <c r="K50" s="23" t="n">
        <v>1</v>
      </c>
      <c r="L50" s="25" t="n">
        <f aca="false">I50*J50*K50</f>
        <v>7200000</v>
      </c>
      <c r="M50" s="29" t="s">
        <v>138</v>
      </c>
    </row>
    <row r="51" customFormat="false" ht="21.75" hidden="false" customHeight="true" outlineLevel="0" collapsed="false">
      <c r="A51" s="0" t="n">
        <v>40</v>
      </c>
      <c r="C51" s="27" t="s">
        <v>139</v>
      </c>
      <c r="D51" s="27" t="s">
        <v>135</v>
      </c>
      <c r="E51" s="23" t="n">
        <v>3</v>
      </c>
      <c r="F51" s="24" t="n">
        <v>600000</v>
      </c>
      <c r="G51" s="23" t="n">
        <v>1</v>
      </c>
      <c r="H51" s="25" t="n">
        <f aca="false">E51*F51*G51</f>
        <v>1800000</v>
      </c>
      <c r="I51" s="23" t="n">
        <v>5</v>
      </c>
      <c r="J51" s="24" t="n">
        <v>700000</v>
      </c>
      <c r="K51" s="23" t="n">
        <v>1</v>
      </c>
      <c r="L51" s="25" t="n">
        <f aca="false">I51*J51*K51</f>
        <v>3500000</v>
      </c>
      <c r="M51" s="33" t="s">
        <v>140</v>
      </c>
    </row>
    <row r="52" customFormat="false" ht="21.75" hidden="false" customHeight="true" outlineLevel="0" collapsed="false">
      <c r="A52" s="21" t="n">
        <v>41</v>
      </c>
      <c r="C52" s="21" t="s">
        <v>141</v>
      </c>
      <c r="D52" s="22" t="s">
        <v>49</v>
      </c>
      <c r="E52" s="23" t="n">
        <v>1</v>
      </c>
      <c r="F52" s="24" t="n">
        <v>500000</v>
      </c>
      <c r="G52" s="23" t="n">
        <v>6</v>
      </c>
      <c r="H52" s="25" t="n">
        <f aca="false">E52*F52*G52</f>
        <v>3000000</v>
      </c>
      <c r="I52" s="23" t="n">
        <v>1</v>
      </c>
      <c r="J52" s="24" t="n">
        <v>700000</v>
      </c>
      <c r="K52" s="23" t="n">
        <v>6</v>
      </c>
      <c r="L52" s="25" t="n">
        <f aca="false">I52*J52*K52</f>
        <v>4200000</v>
      </c>
      <c r="M52" s="29" t="s">
        <v>142</v>
      </c>
    </row>
    <row r="53" customFormat="false" ht="21.75" hidden="false" customHeight="true" outlineLevel="0" collapsed="false">
      <c r="A53" s="30"/>
      <c r="B53" s="31" t="s">
        <v>143</v>
      </c>
      <c r="C53" s="30"/>
      <c r="D53" s="30"/>
      <c r="E53" s="30"/>
      <c r="F53" s="30"/>
      <c r="G53" s="30"/>
      <c r="H53" s="32" t="n">
        <f aca="false">SUM(H45:H52)</f>
        <v>29000000</v>
      </c>
      <c r="I53" s="30"/>
      <c r="J53" s="30"/>
      <c r="K53" s="30"/>
      <c r="L53" s="32" t="n">
        <f aca="false">SUM(L45:L52)</f>
        <v>46700000</v>
      </c>
      <c r="M53" s="30"/>
    </row>
    <row r="54" customFormat="false" ht="21.75" hidden="false" customHeight="true" outlineLevel="0" collapsed="false">
      <c r="A54" s="19"/>
      <c r="B54" s="20" t="s">
        <v>144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customFormat="false" ht="21.75" hidden="false" customHeight="true" outlineLevel="0" collapsed="false">
      <c r="A55" s="0" t="n">
        <v>42</v>
      </c>
      <c r="C55" s="27" t="s">
        <v>145</v>
      </c>
      <c r="D55" s="27" t="s">
        <v>146</v>
      </c>
      <c r="E55" s="23" t="n">
        <v>150</v>
      </c>
      <c r="F55" s="24" t="n">
        <v>15000</v>
      </c>
      <c r="G55" s="23" t="n">
        <v>1</v>
      </c>
      <c r="H55" s="25" t="n">
        <f aca="false">E55*F55*G55</f>
        <v>2250000</v>
      </c>
      <c r="I55" s="23" t="n">
        <v>300</v>
      </c>
      <c r="J55" s="24" t="n">
        <v>17000</v>
      </c>
      <c r="K55" s="23" t="n">
        <v>1</v>
      </c>
      <c r="L55" s="25" t="n">
        <f aca="false">I55*J55*K55</f>
        <v>5100000</v>
      </c>
      <c r="M55" s="33" t="s">
        <v>147</v>
      </c>
    </row>
    <row r="56" customFormat="false" ht="21.75" hidden="false" customHeight="true" outlineLevel="0" collapsed="false">
      <c r="A56" s="21" t="n">
        <v>43</v>
      </c>
      <c r="C56" s="22" t="s">
        <v>148</v>
      </c>
      <c r="D56" s="22" t="s">
        <v>146</v>
      </c>
      <c r="E56" s="23" t="n">
        <v>150</v>
      </c>
      <c r="F56" s="24" t="n">
        <v>8000</v>
      </c>
      <c r="G56" s="23" t="n">
        <v>1</v>
      </c>
      <c r="H56" s="25" t="n">
        <f aca="false">E56*F56*G56</f>
        <v>1200000</v>
      </c>
      <c r="I56" s="23" t="n">
        <v>300</v>
      </c>
      <c r="J56" s="24" t="n">
        <v>8000</v>
      </c>
      <c r="K56" s="23" t="n">
        <v>1</v>
      </c>
      <c r="L56" s="25" t="n">
        <f aca="false">I56*J56*K56</f>
        <v>2400000</v>
      </c>
      <c r="M56" s="29" t="s">
        <v>149</v>
      </c>
    </row>
    <row r="57" customFormat="false" ht="21.75" hidden="false" customHeight="true" outlineLevel="0" collapsed="false">
      <c r="A57" s="0" t="n">
        <v>44</v>
      </c>
      <c r="C57" s="27" t="s">
        <v>150</v>
      </c>
      <c r="D57" s="27" t="s">
        <v>58</v>
      </c>
      <c r="E57" s="23" t="n">
        <v>1</v>
      </c>
      <c r="F57" s="24" t="n">
        <v>5000000</v>
      </c>
      <c r="G57" s="23" t="n">
        <v>1</v>
      </c>
      <c r="H57" s="25" t="n">
        <f aca="false">E57*F57*G57</f>
        <v>5000000</v>
      </c>
      <c r="I57" s="23" t="n">
        <v>1</v>
      </c>
      <c r="J57" s="24" t="n">
        <v>8000000</v>
      </c>
      <c r="K57" s="23" t="n">
        <v>1</v>
      </c>
      <c r="L57" s="25" t="n">
        <f aca="false">I57*J57*K57</f>
        <v>8000000</v>
      </c>
      <c r="M57" s="33" t="s">
        <v>151</v>
      </c>
    </row>
    <row r="58" customFormat="false" ht="21.75" hidden="false" customHeight="true" outlineLevel="0" collapsed="false">
      <c r="A58" s="21" t="n">
        <v>45</v>
      </c>
      <c r="C58" s="22" t="s">
        <v>152</v>
      </c>
      <c r="D58" s="22" t="s">
        <v>58</v>
      </c>
      <c r="E58" s="23" t="n">
        <v>1</v>
      </c>
      <c r="F58" s="24" t="n">
        <v>2500000</v>
      </c>
      <c r="G58" s="23" t="n">
        <v>1</v>
      </c>
      <c r="H58" s="25" t="n">
        <f aca="false">E58*F58*G58</f>
        <v>2500000</v>
      </c>
      <c r="I58" s="23" t="n">
        <v>1</v>
      </c>
      <c r="J58" s="24" t="n">
        <v>4000000</v>
      </c>
      <c r="K58" s="23" t="n">
        <v>1</v>
      </c>
      <c r="L58" s="25" t="n">
        <f aca="false">I58*J58*K58</f>
        <v>4000000</v>
      </c>
      <c r="M58" s="29" t="s">
        <v>153</v>
      </c>
    </row>
    <row r="59" customFormat="false" ht="21.75" hidden="false" customHeight="true" outlineLevel="0" collapsed="false">
      <c r="A59" s="0" t="n">
        <v>46</v>
      </c>
      <c r="C59" s="0" t="s">
        <v>154</v>
      </c>
      <c r="D59" s="27" t="s">
        <v>58</v>
      </c>
      <c r="E59" s="23" t="n">
        <v>1</v>
      </c>
      <c r="F59" s="24" t="n">
        <v>3000000</v>
      </c>
      <c r="G59" s="23" t="n">
        <v>1</v>
      </c>
      <c r="H59" s="25" t="n">
        <f aca="false">E59*F59*G59</f>
        <v>3000000</v>
      </c>
      <c r="I59" s="23" t="n">
        <v>1</v>
      </c>
      <c r="J59" s="24" t="n">
        <v>5000000</v>
      </c>
      <c r="K59" s="23" t="n">
        <v>1</v>
      </c>
      <c r="L59" s="25" t="n">
        <f aca="false">I59*J59*K59</f>
        <v>5000000</v>
      </c>
      <c r="M59" s="33" t="s">
        <v>155</v>
      </c>
    </row>
    <row r="60" customFormat="false" ht="21.75" hidden="false" customHeight="true" outlineLevel="0" collapsed="false">
      <c r="A60" s="21" t="n">
        <v>47</v>
      </c>
      <c r="C60" s="22" t="s">
        <v>156</v>
      </c>
      <c r="D60" s="22" t="s">
        <v>146</v>
      </c>
      <c r="E60" s="23" t="n">
        <v>200</v>
      </c>
      <c r="F60" s="24" t="n">
        <v>5000</v>
      </c>
      <c r="G60" s="23" t="n">
        <v>1</v>
      </c>
      <c r="H60" s="25" t="n">
        <f aca="false">E60*F60*G60</f>
        <v>1000000</v>
      </c>
      <c r="I60" s="23" t="n">
        <v>500</v>
      </c>
      <c r="J60" s="24" t="n">
        <v>5000</v>
      </c>
      <c r="K60" s="23" t="n">
        <v>1</v>
      </c>
      <c r="L60" s="25" t="n">
        <f aca="false">I60*J60*K60</f>
        <v>2500000</v>
      </c>
      <c r="M60" s="29" t="s">
        <v>157</v>
      </c>
    </row>
    <row r="61" customFormat="false" ht="21.75" hidden="false" customHeight="true" outlineLevel="0" collapsed="false">
      <c r="A61" s="0" t="n">
        <v>48</v>
      </c>
      <c r="C61" s="27" t="s">
        <v>158</v>
      </c>
      <c r="D61" s="27" t="s">
        <v>49</v>
      </c>
      <c r="E61" s="23" t="n">
        <v>1</v>
      </c>
      <c r="F61" s="24" t="n">
        <v>200000</v>
      </c>
      <c r="G61" s="23" t="n">
        <v>6</v>
      </c>
      <c r="H61" s="25" t="n">
        <f aca="false">E61*F61*G61</f>
        <v>1200000</v>
      </c>
      <c r="I61" s="23" t="n">
        <v>1</v>
      </c>
      <c r="J61" s="24" t="n">
        <v>300000</v>
      </c>
      <c r="K61" s="23" t="n">
        <v>6</v>
      </c>
      <c r="L61" s="25" t="n">
        <f aca="false">I61*J61*K61</f>
        <v>1800000</v>
      </c>
      <c r="M61" s="33" t="s">
        <v>159</v>
      </c>
    </row>
    <row r="62" customFormat="false" ht="21.75" hidden="false" customHeight="true" outlineLevel="0" collapsed="false">
      <c r="A62" s="30"/>
      <c r="B62" s="31" t="s">
        <v>160</v>
      </c>
      <c r="C62" s="30"/>
      <c r="D62" s="30"/>
      <c r="E62" s="30"/>
      <c r="F62" s="30"/>
      <c r="G62" s="30"/>
      <c r="H62" s="32" t="n">
        <f aca="false">SUM(H55:H61)</f>
        <v>16150000</v>
      </c>
      <c r="I62" s="30"/>
      <c r="J62" s="30"/>
      <c r="K62" s="30"/>
      <c r="L62" s="32" t="n">
        <f aca="false">SUM(L55:L61)</f>
        <v>28800000</v>
      </c>
      <c r="M62" s="30"/>
    </row>
    <row r="63" customFormat="false" ht="21.75" hidden="false" customHeight="true" outlineLevel="0" collapsed="false">
      <c r="A63" s="19"/>
      <c r="B63" s="20" t="s">
        <v>161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customFormat="false" ht="21.75" hidden="false" customHeight="true" outlineLevel="0" collapsed="false">
      <c r="A64" s="21" t="n">
        <v>49</v>
      </c>
      <c r="C64" s="22" t="s">
        <v>162</v>
      </c>
      <c r="D64" s="22" t="s">
        <v>58</v>
      </c>
      <c r="E64" s="23" t="n">
        <v>1</v>
      </c>
      <c r="F64" s="24" t="n">
        <v>3500000</v>
      </c>
      <c r="G64" s="23" t="n">
        <v>1</v>
      </c>
      <c r="H64" s="25" t="n">
        <f aca="false">E64*F64*G64</f>
        <v>3500000</v>
      </c>
      <c r="I64" s="23" t="n">
        <v>1</v>
      </c>
      <c r="J64" s="24" t="n">
        <v>6000000</v>
      </c>
      <c r="K64" s="23" t="n">
        <v>1</v>
      </c>
      <c r="L64" s="25" t="n">
        <f aca="false">I64*J64*K64</f>
        <v>6000000</v>
      </c>
      <c r="M64" s="29" t="s">
        <v>163</v>
      </c>
    </row>
    <row r="65" customFormat="false" ht="21.75" hidden="false" customHeight="true" outlineLevel="0" collapsed="false">
      <c r="A65" s="0" t="n">
        <v>50</v>
      </c>
      <c r="C65" s="27" t="s">
        <v>164</v>
      </c>
      <c r="D65" s="27" t="s">
        <v>49</v>
      </c>
      <c r="E65" s="23" t="n">
        <v>1</v>
      </c>
      <c r="F65" s="24" t="n">
        <v>400000</v>
      </c>
      <c r="G65" s="23" t="n">
        <v>6</v>
      </c>
      <c r="H65" s="25" t="n">
        <f aca="false">E65*F65*G65</f>
        <v>2400000</v>
      </c>
      <c r="I65" s="23" t="n">
        <v>1</v>
      </c>
      <c r="J65" s="24" t="n">
        <v>600000</v>
      </c>
      <c r="K65" s="23" t="n">
        <v>6</v>
      </c>
      <c r="L65" s="25" t="n">
        <f aca="false">I65*J65*K65</f>
        <v>3600000</v>
      </c>
      <c r="M65" s="33" t="s">
        <v>165</v>
      </c>
    </row>
    <row r="66" customFormat="false" ht="21.75" hidden="false" customHeight="true" outlineLevel="0" collapsed="false">
      <c r="A66" s="21" t="n">
        <v>51</v>
      </c>
      <c r="C66" s="21" t="s">
        <v>166</v>
      </c>
      <c r="D66" s="22" t="s">
        <v>58</v>
      </c>
      <c r="E66" s="23" t="n">
        <v>1</v>
      </c>
      <c r="F66" s="24" t="n">
        <v>1500000</v>
      </c>
      <c r="G66" s="23" t="n">
        <v>1</v>
      </c>
      <c r="H66" s="25" t="n">
        <f aca="false">E66*F66*G66</f>
        <v>1500000</v>
      </c>
      <c r="I66" s="23" t="n">
        <v>1</v>
      </c>
      <c r="J66" s="24" t="n">
        <v>3000000</v>
      </c>
      <c r="K66" s="23" t="n">
        <v>1</v>
      </c>
      <c r="L66" s="25" t="n">
        <f aca="false">I66*J66*K66</f>
        <v>3000000</v>
      </c>
      <c r="M66" s="29" t="s">
        <v>167</v>
      </c>
    </row>
    <row r="67" customFormat="false" ht="21.75" hidden="false" customHeight="true" outlineLevel="0" collapsed="false">
      <c r="A67" s="0" t="n">
        <v>52</v>
      </c>
      <c r="C67" s="27" t="s">
        <v>168</v>
      </c>
      <c r="D67" s="27" t="s">
        <v>49</v>
      </c>
      <c r="E67" s="23" t="n">
        <v>1</v>
      </c>
      <c r="F67" s="24" t="n">
        <v>400000</v>
      </c>
      <c r="G67" s="23" t="n">
        <v>6</v>
      </c>
      <c r="H67" s="25" t="n">
        <f aca="false">E67*F67*G67</f>
        <v>2400000</v>
      </c>
      <c r="I67" s="23" t="n">
        <v>1</v>
      </c>
      <c r="J67" s="24" t="n">
        <v>600000</v>
      </c>
      <c r="K67" s="23" t="n">
        <v>6</v>
      </c>
      <c r="L67" s="25" t="n">
        <f aca="false">I67*J67*K67</f>
        <v>3600000</v>
      </c>
      <c r="M67" s="33" t="s">
        <v>169</v>
      </c>
    </row>
    <row r="68" customFormat="false" ht="21.75" hidden="false" customHeight="true" outlineLevel="0" collapsed="false">
      <c r="A68" s="21" t="n">
        <v>53</v>
      </c>
      <c r="C68" s="22" t="s">
        <v>170</v>
      </c>
      <c r="D68" s="22" t="s">
        <v>49</v>
      </c>
      <c r="E68" s="23" t="n">
        <v>1</v>
      </c>
      <c r="F68" s="24" t="n">
        <v>100000</v>
      </c>
      <c r="G68" s="23" t="n">
        <v>6</v>
      </c>
      <c r="H68" s="25" t="n">
        <f aca="false">E68*F68*G68</f>
        <v>600000</v>
      </c>
      <c r="I68" s="23" t="n">
        <v>1</v>
      </c>
      <c r="J68" s="24" t="n">
        <v>200000</v>
      </c>
      <c r="K68" s="23" t="n">
        <v>6</v>
      </c>
      <c r="L68" s="25" t="n">
        <f aca="false">I68*J68*K68</f>
        <v>1200000</v>
      </c>
      <c r="M68" s="29" t="s">
        <v>171</v>
      </c>
    </row>
    <row r="69" customFormat="false" ht="21.75" hidden="false" customHeight="true" outlineLevel="0" collapsed="false">
      <c r="A69" s="0" t="n">
        <v>54</v>
      </c>
      <c r="C69" s="27" t="s">
        <v>172</v>
      </c>
      <c r="D69" s="27" t="s">
        <v>49</v>
      </c>
      <c r="E69" s="23" t="n">
        <v>1</v>
      </c>
      <c r="F69" s="24" t="n">
        <v>50000</v>
      </c>
      <c r="G69" s="23" t="n">
        <v>6</v>
      </c>
      <c r="H69" s="25" t="n">
        <f aca="false">E69*F69*G69</f>
        <v>300000</v>
      </c>
      <c r="I69" s="23" t="n">
        <v>1</v>
      </c>
      <c r="J69" s="24" t="n">
        <v>100000</v>
      </c>
      <c r="K69" s="23" t="n">
        <v>6</v>
      </c>
      <c r="L69" s="25" t="n">
        <f aca="false">I69*J69*K69</f>
        <v>600000</v>
      </c>
      <c r="M69" s="33" t="s">
        <v>173</v>
      </c>
    </row>
    <row r="70" customFormat="false" ht="21.75" hidden="false" customHeight="true" outlineLevel="0" collapsed="false">
      <c r="A70" s="21" t="n">
        <v>55</v>
      </c>
      <c r="C70" s="22" t="s">
        <v>174</v>
      </c>
      <c r="D70" s="22" t="s">
        <v>58</v>
      </c>
      <c r="E70" s="23" t="n">
        <v>1</v>
      </c>
      <c r="F70" s="24" t="n">
        <v>1300000</v>
      </c>
      <c r="G70" s="23" t="n">
        <v>1</v>
      </c>
      <c r="H70" s="25" t="n">
        <f aca="false">E70*F70*G70</f>
        <v>1300000</v>
      </c>
      <c r="I70" s="23" t="n">
        <v>1</v>
      </c>
      <c r="J70" s="24" t="n">
        <v>2000000</v>
      </c>
      <c r="K70" s="23" t="n">
        <v>1</v>
      </c>
      <c r="L70" s="25" t="n">
        <f aca="false">I70*J70*K70</f>
        <v>2000000</v>
      </c>
      <c r="M70" s="29" t="s">
        <v>175</v>
      </c>
    </row>
    <row r="71" customFormat="false" ht="21.75" hidden="false" customHeight="true" outlineLevel="0" collapsed="false">
      <c r="A71" s="30"/>
      <c r="B71" s="31" t="s">
        <v>176</v>
      </c>
      <c r="C71" s="30"/>
      <c r="D71" s="30"/>
      <c r="E71" s="30"/>
      <c r="F71" s="30"/>
      <c r="G71" s="30"/>
      <c r="H71" s="32" t="n">
        <f aca="false">SUM(H64:H70)</f>
        <v>12000000</v>
      </c>
      <c r="I71" s="30"/>
      <c r="J71" s="30"/>
      <c r="K71" s="30"/>
      <c r="L71" s="32" t="n">
        <f aca="false">SUM(L64:L70)</f>
        <v>20000000</v>
      </c>
      <c r="M71" s="30"/>
    </row>
    <row r="72" customFormat="false" ht="21.75" hidden="false" customHeight="true" outlineLevel="0" collapsed="false">
      <c r="A72" s="19"/>
      <c r="B72" s="20" t="s">
        <v>177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customFormat="false" ht="21.75" hidden="false" customHeight="true" outlineLevel="0" collapsed="false">
      <c r="A73" s="0" t="n">
        <v>56</v>
      </c>
      <c r="C73" s="0" t="s">
        <v>178</v>
      </c>
      <c r="D73" s="27" t="s">
        <v>49</v>
      </c>
      <c r="E73" s="23" t="n">
        <v>1</v>
      </c>
      <c r="F73" s="24" t="n">
        <v>900000</v>
      </c>
      <c r="G73" s="23" t="n">
        <v>6</v>
      </c>
      <c r="H73" s="25" t="n">
        <f aca="false">E73*F73*G73</f>
        <v>5400000</v>
      </c>
      <c r="I73" s="23" t="n">
        <v>1</v>
      </c>
      <c r="J73" s="24" t="n">
        <v>1500000</v>
      </c>
      <c r="K73" s="23" t="n">
        <v>6</v>
      </c>
      <c r="L73" s="25" t="n">
        <f aca="false">I73*J73*K73</f>
        <v>9000000</v>
      </c>
      <c r="M73" s="33" t="s">
        <v>179</v>
      </c>
    </row>
    <row r="74" customFormat="false" ht="21.75" hidden="false" customHeight="true" outlineLevel="0" collapsed="false">
      <c r="A74" s="21" t="n">
        <v>57</v>
      </c>
      <c r="C74" s="22" t="s">
        <v>180</v>
      </c>
      <c r="D74" s="21" t="s">
        <v>109</v>
      </c>
      <c r="E74" s="23" t="n">
        <v>0.2</v>
      </c>
      <c r="F74" s="24" t="n">
        <v>6500000</v>
      </c>
      <c r="G74" s="23" t="n">
        <v>6</v>
      </c>
      <c r="H74" s="25" t="n">
        <f aca="false">E74*F74*G74</f>
        <v>7800000</v>
      </c>
      <c r="I74" s="23" t="n">
        <v>0.25</v>
      </c>
      <c r="J74" s="24" t="n">
        <v>7000000</v>
      </c>
      <c r="K74" s="23" t="n">
        <v>6</v>
      </c>
      <c r="L74" s="25" t="n">
        <f aca="false">I74*J74*K74</f>
        <v>10500000</v>
      </c>
      <c r="M74" s="29" t="s">
        <v>181</v>
      </c>
    </row>
    <row r="75" customFormat="false" ht="21.75" hidden="false" customHeight="true" outlineLevel="0" collapsed="false">
      <c r="A75" s="0" t="n">
        <v>58</v>
      </c>
      <c r="C75" s="27" t="s">
        <v>182</v>
      </c>
      <c r="D75" s="27" t="s">
        <v>58</v>
      </c>
      <c r="E75" s="23" t="n">
        <v>1</v>
      </c>
      <c r="F75" s="24" t="n">
        <v>1500000</v>
      </c>
      <c r="G75" s="23" t="n">
        <v>1</v>
      </c>
      <c r="H75" s="25" t="n">
        <f aca="false">E75*F75*G75</f>
        <v>1500000</v>
      </c>
      <c r="I75" s="23" t="n">
        <v>1</v>
      </c>
      <c r="J75" s="24" t="n">
        <v>2500000</v>
      </c>
      <c r="K75" s="23" t="n">
        <v>1</v>
      </c>
      <c r="L75" s="25" t="n">
        <f aca="false">I75*J75*K75</f>
        <v>2500000</v>
      </c>
      <c r="M75" s="33" t="s">
        <v>183</v>
      </c>
    </row>
    <row r="76" customFormat="false" ht="21.75" hidden="false" customHeight="true" outlineLevel="0" collapsed="false">
      <c r="A76" s="21" t="n">
        <v>59</v>
      </c>
      <c r="C76" s="22" t="s">
        <v>184</v>
      </c>
      <c r="D76" s="22" t="s">
        <v>49</v>
      </c>
      <c r="E76" s="23" t="n">
        <v>1</v>
      </c>
      <c r="F76" s="24" t="n">
        <v>300000</v>
      </c>
      <c r="G76" s="23" t="n">
        <v>6</v>
      </c>
      <c r="H76" s="25" t="n">
        <f aca="false">E76*F76*G76</f>
        <v>1800000</v>
      </c>
      <c r="I76" s="23" t="n">
        <v>1</v>
      </c>
      <c r="J76" s="24" t="n">
        <v>500000</v>
      </c>
      <c r="K76" s="23" t="n">
        <v>6</v>
      </c>
      <c r="L76" s="25" t="n">
        <f aca="false">I76*J76*K76</f>
        <v>3000000</v>
      </c>
      <c r="M76" s="29" t="s">
        <v>185</v>
      </c>
    </row>
    <row r="77" customFormat="false" ht="21.75" hidden="false" customHeight="true" outlineLevel="0" collapsed="false">
      <c r="A77" s="0" t="n">
        <v>60</v>
      </c>
      <c r="C77" s="27" t="s">
        <v>186</v>
      </c>
      <c r="D77" s="27" t="s">
        <v>130</v>
      </c>
      <c r="E77" s="23" t="n">
        <v>3</v>
      </c>
      <c r="F77" s="24" t="n">
        <v>250000</v>
      </c>
      <c r="G77" s="23" t="n">
        <v>1</v>
      </c>
      <c r="H77" s="25" t="n">
        <f aca="false">E77*F77*G77</f>
        <v>750000</v>
      </c>
      <c r="I77" s="23" t="n">
        <v>6</v>
      </c>
      <c r="J77" s="24" t="n">
        <v>350000</v>
      </c>
      <c r="K77" s="23" t="n">
        <v>1</v>
      </c>
      <c r="L77" s="25" t="n">
        <f aca="false">I77*J77*K77</f>
        <v>2100000</v>
      </c>
      <c r="M77" s="33" t="s">
        <v>187</v>
      </c>
    </row>
    <row r="78" customFormat="false" ht="21.75" hidden="false" customHeight="true" outlineLevel="0" collapsed="false">
      <c r="A78" s="21" t="n">
        <v>61</v>
      </c>
      <c r="C78" s="22" t="s">
        <v>188</v>
      </c>
      <c r="D78" s="22" t="s">
        <v>49</v>
      </c>
      <c r="E78" s="23" t="n">
        <v>1</v>
      </c>
      <c r="F78" s="24" t="n">
        <v>150000</v>
      </c>
      <c r="G78" s="23" t="n">
        <v>6</v>
      </c>
      <c r="H78" s="25" t="n">
        <f aca="false">E78*F78*G78</f>
        <v>900000</v>
      </c>
      <c r="I78" s="23" t="n">
        <v>1</v>
      </c>
      <c r="J78" s="24" t="n">
        <v>250000</v>
      </c>
      <c r="K78" s="23" t="n">
        <v>6</v>
      </c>
      <c r="L78" s="25" t="n">
        <f aca="false">I78*J78*K78</f>
        <v>1500000</v>
      </c>
      <c r="M78" s="29" t="s">
        <v>189</v>
      </c>
    </row>
    <row r="79" customFormat="false" ht="21.75" hidden="false" customHeight="true" outlineLevel="0" collapsed="false">
      <c r="A79" s="30"/>
      <c r="B79" s="31" t="s">
        <v>190</v>
      </c>
      <c r="C79" s="30"/>
      <c r="D79" s="30"/>
      <c r="E79" s="30"/>
      <c r="F79" s="30"/>
      <c r="G79" s="30"/>
      <c r="H79" s="32" t="n">
        <f aca="false">SUM(H73:H78)</f>
        <v>18150000</v>
      </c>
      <c r="I79" s="30"/>
      <c r="J79" s="30"/>
      <c r="K79" s="30"/>
      <c r="L79" s="32" t="n">
        <f aca="false">SUM(L73:L78)</f>
        <v>28600000</v>
      </c>
      <c r="M79" s="30"/>
    </row>
    <row r="80" customFormat="false" ht="21.75" hidden="false" customHeight="true" outlineLevel="0" collapsed="false">
      <c r="A80" s="19"/>
      <c r="B80" s="20" t="s">
        <v>191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customFormat="false" ht="21.75" hidden="false" customHeight="true" outlineLevel="0" collapsed="false">
      <c r="A81" s="0" t="n">
        <v>62</v>
      </c>
      <c r="C81" s="0" t="s">
        <v>192</v>
      </c>
      <c r="D81" s="27" t="s">
        <v>58</v>
      </c>
      <c r="E81" s="23" t="n">
        <v>1</v>
      </c>
      <c r="F81" s="24" t="n">
        <v>2500000</v>
      </c>
      <c r="G81" s="23" t="n">
        <v>1</v>
      </c>
      <c r="H81" s="25" t="n">
        <f aca="false">E81*F81*G81</f>
        <v>2500000</v>
      </c>
      <c r="I81" s="23" t="n">
        <v>1</v>
      </c>
      <c r="J81" s="24" t="n">
        <v>3500000</v>
      </c>
      <c r="K81" s="23" t="n">
        <v>1</v>
      </c>
      <c r="L81" s="25" t="n">
        <f aca="false">I81*J81*K81</f>
        <v>3500000</v>
      </c>
      <c r="M81" s="33" t="s">
        <v>193</v>
      </c>
    </row>
    <row r="82" customFormat="false" ht="21.75" hidden="false" customHeight="true" outlineLevel="0" collapsed="false">
      <c r="A82" s="21" t="n">
        <v>63</v>
      </c>
      <c r="C82" s="22" t="s">
        <v>194</v>
      </c>
      <c r="D82" s="22" t="s">
        <v>49</v>
      </c>
      <c r="E82" s="23" t="n">
        <v>1</v>
      </c>
      <c r="F82" s="24" t="n">
        <v>1300000</v>
      </c>
      <c r="G82" s="23" t="n">
        <v>6</v>
      </c>
      <c r="H82" s="25" t="n">
        <f aca="false">E82*F82*G82</f>
        <v>7800000</v>
      </c>
      <c r="I82" s="23" t="n">
        <v>1</v>
      </c>
      <c r="J82" s="24" t="n">
        <v>1700000</v>
      </c>
      <c r="K82" s="23" t="n">
        <v>6</v>
      </c>
      <c r="L82" s="25" t="n">
        <f aca="false">I82*J82*K82</f>
        <v>10200000</v>
      </c>
      <c r="M82" s="26" t="s">
        <v>195</v>
      </c>
    </row>
    <row r="83" customFormat="false" ht="21.75" hidden="false" customHeight="true" outlineLevel="0" collapsed="false">
      <c r="A83" s="0" t="n">
        <v>64</v>
      </c>
      <c r="C83" s="0" t="s">
        <v>196</v>
      </c>
      <c r="D83" s="27" t="s">
        <v>49</v>
      </c>
      <c r="E83" s="23" t="n">
        <v>1</v>
      </c>
      <c r="F83" s="24" t="n">
        <v>800000</v>
      </c>
      <c r="G83" s="23" t="n">
        <v>6</v>
      </c>
      <c r="H83" s="25" t="n">
        <f aca="false">E83*F83*G83</f>
        <v>4800000</v>
      </c>
      <c r="I83" s="23" t="n">
        <v>1</v>
      </c>
      <c r="J83" s="24" t="n">
        <v>1200000</v>
      </c>
      <c r="K83" s="23" t="n">
        <v>6</v>
      </c>
      <c r="L83" s="25" t="n">
        <f aca="false">I83*J83*K83</f>
        <v>7200000</v>
      </c>
      <c r="M83" s="33" t="s">
        <v>197</v>
      </c>
    </row>
    <row r="84" customFormat="false" ht="21.75" hidden="false" customHeight="true" outlineLevel="0" collapsed="false">
      <c r="A84" s="21" t="n">
        <v>65</v>
      </c>
      <c r="C84" s="22" t="s">
        <v>198</v>
      </c>
      <c r="D84" s="22" t="s">
        <v>49</v>
      </c>
      <c r="E84" s="23" t="n">
        <v>1</v>
      </c>
      <c r="F84" s="24" t="n">
        <v>300000</v>
      </c>
      <c r="G84" s="23" t="n">
        <v>6</v>
      </c>
      <c r="H84" s="25" t="n">
        <f aca="false">E84*F84*G84</f>
        <v>1800000</v>
      </c>
      <c r="I84" s="23" t="n">
        <v>1</v>
      </c>
      <c r="J84" s="24" t="n">
        <v>400000</v>
      </c>
      <c r="K84" s="23" t="n">
        <v>6</v>
      </c>
      <c r="L84" s="25" t="n">
        <f aca="false">I84*J84*K84</f>
        <v>2400000</v>
      </c>
      <c r="M84" s="26" t="s">
        <v>199</v>
      </c>
    </row>
    <row r="85" customFormat="false" ht="21.75" hidden="false" customHeight="true" outlineLevel="0" collapsed="false">
      <c r="A85" s="0" t="n">
        <v>66</v>
      </c>
      <c r="C85" s="0" t="s">
        <v>200</v>
      </c>
      <c r="D85" s="27" t="s">
        <v>49</v>
      </c>
      <c r="E85" s="23" t="n">
        <v>1</v>
      </c>
      <c r="F85" s="24" t="n">
        <v>300000</v>
      </c>
      <c r="G85" s="23" t="n">
        <v>6</v>
      </c>
      <c r="H85" s="25" t="n">
        <f aca="false">E85*F85*G85</f>
        <v>1800000</v>
      </c>
      <c r="I85" s="23" t="n">
        <v>1</v>
      </c>
      <c r="J85" s="24" t="n">
        <v>400000</v>
      </c>
      <c r="K85" s="23" t="n">
        <v>6</v>
      </c>
      <c r="L85" s="25" t="n">
        <f aca="false">I85*J85*K85</f>
        <v>2400000</v>
      </c>
      <c r="M85" s="33" t="s">
        <v>201</v>
      </c>
    </row>
    <row r="86" customFormat="false" ht="21.75" hidden="false" customHeight="true" outlineLevel="0" collapsed="false">
      <c r="A86" s="21" t="n">
        <v>67</v>
      </c>
      <c r="C86" s="22" t="s">
        <v>202</v>
      </c>
      <c r="D86" s="22" t="s">
        <v>135</v>
      </c>
      <c r="E86" s="23" t="n">
        <v>3</v>
      </c>
      <c r="F86" s="24" t="n">
        <v>500000</v>
      </c>
      <c r="G86" s="23" t="n">
        <v>1</v>
      </c>
      <c r="H86" s="25" t="n">
        <f aca="false">E86*F86*G86</f>
        <v>1500000</v>
      </c>
      <c r="I86" s="23" t="n">
        <v>6</v>
      </c>
      <c r="J86" s="24" t="n">
        <v>600000</v>
      </c>
      <c r="K86" s="23" t="n">
        <v>1</v>
      </c>
      <c r="L86" s="25" t="n">
        <f aca="false">I86*J86*K86</f>
        <v>3600000</v>
      </c>
      <c r="M86" s="29" t="s">
        <v>203</v>
      </c>
    </row>
    <row r="87" customFormat="false" ht="21.75" hidden="false" customHeight="true" outlineLevel="0" collapsed="false">
      <c r="A87" s="0" t="n">
        <v>68</v>
      </c>
      <c r="C87" s="27" t="s">
        <v>204</v>
      </c>
      <c r="D87" s="27" t="s">
        <v>146</v>
      </c>
      <c r="E87" s="23" t="n">
        <v>1</v>
      </c>
      <c r="F87" s="24" t="n">
        <v>1000000</v>
      </c>
      <c r="G87" s="23" t="n">
        <v>1</v>
      </c>
      <c r="H87" s="25" t="n">
        <f aca="false">E87*F87*G87</f>
        <v>1000000</v>
      </c>
      <c r="I87" s="23" t="n">
        <v>2</v>
      </c>
      <c r="J87" s="24" t="n">
        <v>1200000</v>
      </c>
      <c r="K87" s="23" t="n">
        <v>1</v>
      </c>
      <c r="L87" s="25" t="n">
        <f aca="false">I87*J87*K87</f>
        <v>2400000</v>
      </c>
      <c r="M87" s="33" t="s">
        <v>205</v>
      </c>
    </row>
    <row r="88" customFormat="false" ht="21.75" hidden="false" customHeight="true" outlineLevel="0" collapsed="false">
      <c r="A88" s="30"/>
      <c r="B88" s="31" t="s">
        <v>206</v>
      </c>
      <c r="C88" s="30"/>
      <c r="D88" s="30"/>
      <c r="E88" s="30"/>
      <c r="F88" s="30"/>
      <c r="G88" s="30"/>
      <c r="H88" s="32" t="n">
        <f aca="false">SUM(H81:H87)</f>
        <v>21200000</v>
      </c>
      <c r="I88" s="30"/>
      <c r="J88" s="30"/>
      <c r="K88" s="30"/>
      <c r="L88" s="32" t="n">
        <f aca="false">SUM(L81:L87)</f>
        <v>31700000</v>
      </c>
      <c r="M88" s="30"/>
    </row>
    <row r="89" customFormat="false" ht="21.75" hidden="false" customHeight="true" outlineLevel="0" collapsed="false">
      <c r="A89" s="19"/>
      <c r="B89" s="20" t="s">
        <v>207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customFormat="false" ht="21.75" hidden="false" customHeight="true" outlineLevel="0" collapsed="false">
      <c r="A90" s="21" t="n">
        <v>69</v>
      </c>
      <c r="C90" s="22" t="s">
        <v>208</v>
      </c>
      <c r="D90" s="21" t="s">
        <v>109</v>
      </c>
      <c r="E90" s="23" t="n">
        <v>0.25</v>
      </c>
      <c r="F90" s="24" t="n">
        <v>8000000</v>
      </c>
      <c r="G90" s="23" t="n">
        <v>6</v>
      </c>
      <c r="H90" s="25" t="n">
        <f aca="false">E90*F90*G90</f>
        <v>12000000</v>
      </c>
      <c r="I90" s="23" t="n">
        <v>0.25</v>
      </c>
      <c r="J90" s="24" t="n">
        <v>9000000</v>
      </c>
      <c r="K90" s="23" t="n">
        <v>6</v>
      </c>
      <c r="L90" s="25" t="n">
        <f aca="false">I90*J90*K90</f>
        <v>13500000</v>
      </c>
      <c r="M90" s="29" t="s">
        <v>209</v>
      </c>
    </row>
    <row r="91" customFormat="false" ht="21.75" hidden="false" customHeight="true" outlineLevel="0" collapsed="false">
      <c r="A91" s="0" t="n">
        <v>70</v>
      </c>
      <c r="C91" s="27" t="s">
        <v>210</v>
      </c>
      <c r="D91" s="27" t="s">
        <v>49</v>
      </c>
      <c r="E91" s="23" t="n">
        <v>1</v>
      </c>
      <c r="F91" s="24" t="n">
        <v>300000</v>
      </c>
      <c r="G91" s="23" t="n">
        <v>6</v>
      </c>
      <c r="H91" s="25" t="n">
        <f aca="false">E91*F91*G91</f>
        <v>1800000</v>
      </c>
      <c r="I91" s="23" t="n">
        <v>1</v>
      </c>
      <c r="J91" s="24" t="n">
        <v>500000</v>
      </c>
      <c r="K91" s="23" t="n">
        <v>6</v>
      </c>
      <c r="L91" s="25" t="n">
        <f aca="false">I91*J91*K91</f>
        <v>3000000</v>
      </c>
      <c r="M91" s="33" t="s">
        <v>211</v>
      </c>
    </row>
    <row r="92" customFormat="false" ht="21.75" hidden="false" customHeight="true" outlineLevel="0" collapsed="false">
      <c r="A92" s="21" t="n">
        <v>71</v>
      </c>
      <c r="C92" s="22" t="s">
        <v>212</v>
      </c>
      <c r="D92" s="22" t="s">
        <v>49</v>
      </c>
      <c r="E92" s="23" t="n">
        <v>1</v>
      </c>
      <c r="F92" s="24" t="n">
        <v>500000</v>
      </c>
      <c r="G92" s="23" t="n">
        <v>6</v>
      </c>
      <c r="H92" s="25" t="n">
        <f aca="false">E92*F92*G92</f>
        <v>3000000</v>
      </c>
      <c r="I92" s="23" t="n">
        <v>1</v>
      </c>
      <c r="J92" s="24" t="n">
        <v>800000</v>
      </c>
      <c r="K92" s="23" t="n">
        <v>6</v>
      </c>
      <c r="L92" s="25" t="n">
        <f aca="false">I92*J92*K92</f>
        <v>4800000</v>
      </c>
      <c r="M92" s="29" t="s">
        <v>213</v>
      </c>
    </row>
    <row r="93" customFormat="false" ht="21.75" hidden="false" customHeight="true" outlineLevel="0" collapsed="false">
      <c r="A93" s="0" t="n">
        <v>72</v>
      </c>
      <c r="C93" s="27" t="s">
        <v>214</v>
      </c>
      <c r="D93" s="27" t="s">
        <v>49</v>
      </c>
      <c r="E93" s="23" t="n">
        <v>1</v>
      </c>
      <c r="F93" s="24" t="n">
        <v>300000</v>
      </c>
      <c r="G93" s="23" t="n">
        <v>6</v>
      </c>
      <c r="H93" s="25" t="n">
        <f aca="false">E93*F93*G93</f>
        <v>1800000</v>
      </c>
      <c r="I93" s="23" t="n">
        <v>1</v>
      </c>
      <c r="J93" s="24" t="n">
        <v>500000</v>
      </c>
      <c r="K93" s="23" t="n">
        <v>6</v>
      </c>
      <c r="L93" s="25" t="n">
        <f aca="false">I93*J93*K93</f>
        <v>3000000</v>
      </c>
      <c r="M93" s="33" t="s">
        <v>215</v>
      </c>
    </row>
    <row r="94" customFormat="false" ht="21.75" hidden="false" customHeight="true" outlineLevel="0" collapsed="false">
      <c r="A94" s="21" t="n">
        <v>73</v>
      </c>
      <c r="C94" s="22" t="s">
        <v>216</v>
      </c>
      <c r="D94" s="22" t="s">
        <v>58</v>
      </c>
      <c r="E94" s="23" t="n">
        <v>1</v>
      </c>
      <c r="F94" s="34" t="n">
        <f aca="false">표지·요약!C10-(H12+H24+H34+H43+H53+H62+H71+H79+H88)-SUM(H90:H93)</f>
        <v>4900000</v>
      </c>
      <c r="G94" s="23" t="n">
        <v>1</v>
      </c>
      <c r="H94" s="25" t="n">
        <f aca="false">E94*F94*G94</f>
        <v>4900000</v>
      </c>
      <c r="I94" s="23" t="n">
        <v>1</v>
      </c>
      <c r="J94" s="34" t="n">
        <f aca="false">표지·요약!C11-(L12+L24+L34+L43+L53+L62+L71+L79+L88)-SUM(L90:L93)</f>
        <v>16200000</v>
      </c>
      <c r="K94" s="23" t="n">
        <v>1</v>
      </c>
      <c r="L94" s="25" t="n">
        <f aca="false">I94*J94*K94</f>
        <v>16200000</v>
      </c>
      <c r="M94" s="29" t="s">
        <v>217</v>
      </c>
    </row>
    <row r="95" customFormat="false" ht="21.75" hidden="false" customHeight="true" outlineLevel="0" collapsed="false">
      <c r="A95" s="30"/>
      <c r="B95" s="31" t="s">
        <v>218</v>
      </c>
      <c r="C95" s="30"/>
      <c r="D95" s="30"/>
      <c r="E95" s="30"/>
      <c r="F95" s="30"/>
      <c r="G95" s="30"/>
      <c r="H95" s="32" t="n">
        <f aca="false">SUM(H90:H94)</f>
        <v>23500000</v>
      </c>
      <c r="I95" s="30"/>
      <c r="J95" s="30"/>
      <c r="K95" s="30"/>
      <c r="L95" s="32" t="n">
        <f aca="false">SUM(L90:L94)</f>
        <v>40500000</v>
      </c>
      <c r="M95" s="30"/>
    </row>
    <row r="96" customFormat="false" ht="21.75" hidden="false" customHeight="true" outlineLevel="0" collapsed="false">
      <c r="A96" s="35"/>
      <c r="B96" s="14" t="s">
        <v>219</v>
      </c>
      <c r="C96" s="35"/>
      <c r="D96" s="35"/>
      <c r="E96" s="35"/>
      <c r="F96" s="35"/>
      <c r="G96" s="35"/>
      <c r="H96" s="15" t="n">
        <f aca="false">H12+H24+H34+H43+H53+H62+H71+H79+H88+H95</f>
        <v>300000000</v>
      </c>
      <c r="I96" s="35"/>
      <c r="J96" s="35"/>
      <c r="K96" s="35"/>
      <c r="L96" s="15" t="n">
        <f aca="false">L12+L24+L34+L43+L53+L62+L71+L79+L88+L95</f>
        <v>500000000</v>
      </c>
      <c r="M96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0"/>
  </cols>
  <sheetData>
    <row r="2" customFormat="false" ht="19.4" hidden="false" customHeight="false" outlineLevel="0" collapsed="false">
      <c r="B2" s="36" t="s">
        <v>220</v>
      </c>
    </row>
    <row r="3" customFormat="false" ht="15" hidden="false" customHeight="false" outlineLevel="0" collapsed="false">
      <c r="B3" s="37" t="s">
        <v>221</v>
      </c>
    </row>
    <row r="5" customFormat="false" ht="15" hidden="false" customHeight="false" outlineLevel="0" collapsed="false">
      <c r="B5" s="38"/>
    </row>
    <row r="6" customFormat="false" ht="15" hidden="false" customHeight="false" outlineLevel="0" collapsed="false">
      <c r="B6" s="39" t="s">
        <v>222</v>
      </c>
    </row>
    <row r="7" customFormat="false" ht="15" hidden="false" customHeight="false" outlineLevel="0" collapsed="false">
      <c r="B7" s="38" t="s">
        <v>223</v>
      </c>
    </row>
    <row r="8" customFormat="false" ht="15" hidden="false" customHeight="false" outlineLevel="0" collapsed="false">
      <c r="B8" s="38" t="s">
        <v>224</v>
      </c>
    </row>
    <row r="9" customFormat="false" ht="15" hidden="false" customHeight="false" outlineLevel="0" collapsed="false">
      <c r="B9" s="38" t="s">
        <v>225</v>
      </c>
    </row>
    <row r="10" customFormat="false" ht="15" hidden="false" customHeight="false" outlineLevel="0" collapsed="false">
      <c r="B10" s="38"/>
    </row>
    <row r="11" customFormat="false" ht="15" hidden="false" customHeight="false" outlineLevel="0" collapsed="false">
      <c r="B11" s="39" t="s">
        <v>226</v>
      </c>
    </row>
    <row r="12" customFormat="false" ht="15" hidden="false" customHeight="false" outlineLevel="0" collapsed="false">
      <c r="B12" s="38" t="s">
        <v>227</v>
      </c>
    </row>
    <row r="13" customFormat="false" ht="15" hidden="false" customHeight="false" outlineLevel="0" collapsed="false">
      <c r="B13" s="38" t="s">
        <v>228</v>
      </c>
    </row>
    <row r="14" customFormat="false" ht="15" hidden="false" customHeight="false" outlineLevel="0" collapsed="false">
      <c r="B14" s="38" t="s">
        <v>229</v>
      </c>
    </row>
    <row r="15" customFormat="false" ht="15" hidden="false" customHeight="false" outlineLevel="0" collapsed="false">
      <c r="B15" s="38" t="s">
        <v>230</v>
      </c>
    </row>
    <row r="16" customFormat="false" ht="15" hidden="false" customHeight="false" outlineLevel="0" collapsed="false">
      <c r="B16" s="38" t="s">
        <v>231</v>
      </c>
    </row>
    <row r="17" customFormat="false" ht="15" hidden="false" customHeight="false" outlineLevel="0" collapsed="false">
      <c r="B17" s="38" t="s">
        <v>232</v>
      </c>
    </row>
    <row r="18" customFormat="false" ht="15" hidden="false" customHeight="false" outlineLevel="0" collapsed="false">
      <c r="B18" s="38"/>
    </row>
    <row r="19" customFormat="false" ht="15" hidden="false" customHeight="false" outlineLevel="0" collapsed="false">
      <c r="B19" s="39" t="s">
        <v>233</v>
      </c>
    </row>
    <row r="20" customFormat="false" ht="15" hidden="false" customHeight="false" outlineLevel="0" collapsed="false">
      <c r="B20" s="38" t="s">
        <v>234</v>
      </c>
    </row>
    <row r="21" customFormat="false" ht="15" hidden="false" customHeight="false" outlineLevel="0" collapsed="false">
      <c r="B21" s="38" t="s">
        <v>235</v>
      </c>
    </row>
    <row r="22" customFormat="false" ht="15" hidden="false" customHeight="false" outlineLevel="0" collapsed="false">
      <c r="B22" s="38"/>
    </row>
    <row r="23" customFormat="false" ht="15" hidden="false" customHeight="false" outlineLevel="0" collapsed="false">
      <c r="B23" s="39" t="s">
        <v>236</v>
      </c>
    </row>
    <row r="24" customFormat="false" ht="15" hidden="false" customHeight="false" outlineLevel="0" collapsed="false">
      <c r="B24" s="38" t="s">
        <v>237</v>
      </c>
    </row>
    <row r="25" customFormat="false" ht="15" hidden="false" customHeight="false" outlineLevel="0" collapsed="false">
      <c r="B25" s="38" t="s">
        <v>238</v>
      </c>
    </row>
    <row r="26" customFormat="false" ht="15" hidden="false" customHeight="false" outlineLevel="0" collapsed="false">
      <c r="B26" s="38"/>
    </row>
    <row r="27" customFormat="false" ht="15" hidden="false" customHeight="false" outlineLevel="0" collapsed="false">
      <c r="B27" s="39" t="s">
        <v>239</v>
      </c>
    </row>
    <row r="28" customFormat="false" ht="15" hidden="false" customHeight="false" outlineLevel="0" collapsed="false">
      <c r="B28" s="38" t="s">
        <v>240</v>
      </c>
    </row>
    <row r="29" customFormat="false" ht="15" hidden="false" customHeight="false" outlineLevel="0" collapsed="false">
      <c r="B29" s="38" t="s">
        <v>241</v>
      </c>
    </row>
    <row r="30" customFormat="false" ht="15" hidden="false" customHeight="false" outlineLevel="0" collapsed="false">
      <c r="B30" s="38"/>
    </row>
    <row r="31" customFormat="false" ht="15" hidden="false" customHeight="false" outlineLevel="0" collapsed="false">
      <c r="B31" s="39" t="s">
        <v>242</v>
      </c>
    </row>
    <row r="32" customFormat="false" ht="15" hidden="false" customHeight="false" outlineLevel="0" collapsed="false">
      <c r="B32" s="38" t="s">
        <v>243</v>
      </c>
    </row>
    <row r="33" customFormat="false" ht="15" hidden="false" customHeight="false" outlineLevel="0" collapsed="false">
      <c r="B33" s="38" t="s">
        <v>244</v>
      </c>
    </row>
    <row r="34" customFormat="false" ht="15" hidden="false" customHeight="false" outlineLevel="0" collapsed="false">
      <c r="B34" s="38"/>
    </row>
    <row r="35" customFormat="false" ht="15" hidden="false" customHeight="false" outlineLevel="0" collapsed="false">
      <c r="B35" s="39" t="s">
        <v>245</v>
      </c>
    </row>
    <row r="36" customFormat="false" ht="15" hidden="false" customHeight="false" outlineLevel="0" collapsed="false">
      <c r="B36" s="38" t="s">
        <v>246</v>
      </c>
    </row>
    <row r="37" customFormat="false" ht="15" hidden="false" customHeight="false" outlineLevel="0" collapsed="false">
      <c r="B37" s="38" t="s">
        <v>247</v>
      </c>
    </row>
    <row r="38" customFormat="false" ht="15" hidden="false" customHeight="false" outlineLevel="0" collapsed="false">
      <c r="B38" s="3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2026-05-23T08:12:50Z</dcterms:created>
  <dc:creator>openpyxl</dc:creator>
  <dc:description/>
  <dc:language>en-US</dc:language>
  <cp:lastModifiedBy/>
  <dcterms:modified xsi:type="dcterms:W3CDTF">2026-05-23T08:12:50Z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